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timelines/timeline1.xml" ContentType="application/vnd.ms-excel.timelin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c\OneDrive\Documents\"/>
    </mc:Choice>
  </mc:AlternateContent>
  <xr:revisionPtr revIDLastSave="0" documentId="13_ncr:1_{A546E657-F58A-4927-9391-426DE85E896A}" xr6:coauthVersionLast="47" xr6:coauthVersionMax="47" xr10:uidLastSave="{00000000-0000-0000-0000-000000000000}"/>
  <bookViews>
    <workbookView xWindow="-120" yWindow="-120" windowWidth="20730" windowHeight="11040" tabRatio="626" firstSheet="20" activeTab="27" xr2:uid="{4E952EC6-9123-4727-97F1-BDF0E0C54577}"/>
  </bookViews>
  <sheets>
    <sheet name="Excel invoice" sheetId="2" r:id="rId1"/>
    <sheet name="Excel function and formula" sheetId="1" r:id="rId2"/>
    <sheet name="Ms Excel Functions VLookup, H.." sheetId="3" r:id="rId3"/>
    <sheet name="Ms Excel Logical Functions,IF.." sheetId="5" r:id="rId4"/>
    <sheet name="Financial Functions, FV, PMT, R" sheetId="6" r:id="rId5"/>
    <sheet name="Excel tab option practice" sheetId="7" r:id="rId6"/>
    <sheet name="Pivot Table" sheetId="8" r:id="rId7"/>
    <sheet name="income and expense data" sheetId="10" r:id="rId8"/>
    <sheet name="pivot map chart income and expe" sheetId="13" r:id="rId9"/>
    <sheet name=" Income and expense pivot table" sheetId="11" r:id="rId10"/>
    <sheet name="Pivot table 3" sheetId="12" r:id="rId11"/>
    <sheet name="Pivot mapchart course data" sheetId="14" r:id="rId12"/>
    <sheet name=" pagelayout &amp; data tab" sheetId="15" r:id="rId13"/>
    <sheet name="Sheet2" sheetId="9" r:id="rId14"/>
    <sheet name="Data" sheetId="4" r:id="rId15"/>
    <sheet name="Sheet14" sheetId="29" r:id="rId16"/>
    <sheet name="upciss std1&amp;2 data pvt table" sheetId="23" r:id="rId17"/>
    <sheet name="upciss std data1" sheetId="21" r:id="rId18"/>
    <sheet name="upciss std data2" sheetId="22" r:id="rId19"/>
    <sheet name="data file 2" sheetId="16" r:id="rId20"/>
    <sheet name="Jan" sheetId="17" r:id="rId21"/>
    <sheet name="Fab" sheetId="18" r:id="rId22"/>
    <sheet name="Mar" sheetId="19" r:id="rId23"/>
    <sheet name="Goalseek" sheetId="25" r:id="rId24"/>
    <sheet name="Data Table" sheetId="26" r:id="rId25"/>
    <sheet name="Sheet13" sheetId="28" r:id="rId26"/>
    <sheet name="forcecast sheet" sheetId="27" r:id="rId27"/>
    <sheet name="subtotal in excel" sheetId="31" r:id="rId28"/>
  </sheets>
  <definedNames>
    <definedName name="_xlchart.v5.0" hidden="1">'Pivot mapchart course data'!$A$29</definedName>
    <definedName name="_xlchart.v5.1" hidden="1">'Pivot mapchart course data'!$A$30:$A$35</definedName>
    <definedName name="_xlchart.v5.2" hidden="1">'Pivot mapchart course data'!$B$29</definedName>
    <definedName name="_xlchart.v5.3" hidden="1">'Pivot mapchart course data'!$B$30:$B$35</definedName>
    <definedName name="_xlcn.WorksheetConnection_ExcelPracticeFile.xlsxupciss_std_data_table_1" hidden="1">upciss_std_data_table_1[]</definedName>
    <definedName name="_xlcn.WorksheetConnection_ExcelPracticeFile.xlsxupciss_std_data_table_2" hidden="1">upciss_std_data_table_2[]</definedName>
    <definedName name="NativeTimeline_Date">#N/A</definedName>
    <definedName name="Slicer_Category">#N/A</definedName>
    <definedName name="Slicer_Category1">#N/A</definedName>
    <definedName name="Slicer_Gender">#N/A</definedName>
  </definedNames>
  <calcPr calcId="191029"/>
  <pivotCaches>
    <pivotCache cacheId="0" r:id="rId29"/>
    <pivotCache cacheId="1" r:id="rId30"/>
    <pivotCache cacheId="2" r:id="rId31"/>
    <pivotCache cacheId="3" r:id="rId32"/>
    <pivotCache cacheId="4" r:id="rId33"/>
    <pivotCache cacheId="5" r:id="rId34"/>
  </pivotCaches>
  <extLst>
    <ext xmlns:x14="http://schemas.microsoft.com/office/spreadsheetml/2009/9/main" uri="{BBE1A952-AA13-448e-AADC-164F8A28A991}">
      <x14:slicerCaches>
        <x14:slicerCache r:id="rId35"/>
        <x14:slicerCache r:id="rId36"/>
        <x14:slicerCache r:id="rId3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upciss_std_data_table_1" name="upciss_std_data_table_1" connection="WorksheetConnection_Excel Practice File.xlsx!upciss_std_data_table_1"/>
          <x15:modelTable id="upciss_std_data_table_2" name="upciss_std_data_table_2" connection="WorksheetConnection_Excel Practice File.xlsx!upciss_std_data_table_2"/>
        </x15:modelTables>
        <x15:modelRelationships>
          <x15:modelRelationship fromTable="upciss_std_data_table_2" fromColumn="Roll_No" toTable="upciss_std_data_table_1" toColumn="Roll_No"/>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3" i="31" l="1"/>
  <c r="B31" i="31"/>
  <c r="B29" i="31"/>
  <c r="B24" i="31"/>
  <c r="B21" i="31"/>
  <c r="B19" i="31"/>
  <c r="B17" i="31"/>
  <c r="B8" i="31"/>
  <c r="B3" i="31"/>
  <c r="B34" i="31" s="1"/>
  <c r="D6" i="26"/>
  <c r="G3" i="26" s="1"/>
  <c r="I7" i="25"/>
  <c r="I8" i="25"/>
  <c r="I9" i="25"/>
  <c r="I10" i="25"/>
  <c r="I11" i="25" s="1"/>
  <c r="I6" i="25"/>
  <c r="B33" i="9"/>
  <c r="B32" i="9"/>
  <c r="B31" i="9"/>
  <c r="B30" i="9"/>
  <c r="B29" i="9"/>
  <c r="B30" i="7"/>
  <c r="B31" i="7"/>
  <c r="B32" i="7"/>
  <c r="B33" i="7"/>
  <c r="B29" i="7"/>
  <c r="L15" i="7"/>
  <c r="M12" i="7"/>
  <c r="AD24" i="6"/>
  <c r="R20" i="6"/>
  <c r="Y10" i="6"/>
  <c r="Q10" i="6"/>
  <c r="Y25" i="6"/>
  <c r="X25" i="6"/>
  <c r="Z25" i="6"/>
  <c r="X26" i="6"/>
  <c r="Y26" i="6"/>
  <c r="Z26" i="6"/>
  <c r="X27" i="6"/>
  <c r="Y27" i="6"/>
  <c r="Z27" i="6"/>
  <c r="X28" i="6"/>
  <c r="Y28" i="6"/>
  <c r="Z28" i="6"/>
  <c r="X29" i="6"/>
  <c r="Y29" i="6"/>
  <c r="Z29" i="6"/>
  <c r="X30" i="6"/>
  <c r="Y30" i="6"/>
  <c r="Z30" i="6"/>
  <c r="X31" i="6"/>
  <c r="Y31" i="6"/>
  <c r="Z31" i="6"/>
  <c r="X32" i="6"/>
  <c r="Y32" i="6"/>
  <c r="Z32" i="6"/>
  <c r="X33" i="6"/>
  <c r="Y33" i="6"/>
  <c r="Z33" i="6"/>
  <c r="X34" i="6"/>
  <c r="Y34" i="6"/>
  <c r="Z34" i="6"/>
  <c r="X35" i="6"/>
  <c r="Y35" i="6"/>
  <c r="Z35" i="6"/>
  <c r="Y24" i="6"/>
  <c r="Z24" i="6"/>
  <c r="X24" i="6"/>
  <c r="R22" i="6"/>
  <c r="R21" i="6"/>
  <c r="Y11" i="6"/>
  <c r="Q11" i="6"/>
  <c r="E7" i="5"/>
  <c r="E8" i="5"/>
  <c r="E9" i="5"/>
  <c r="E10" i="5"/>
  <c r="E11" i="5"/>
  <c r="E12" i="5"/>
  <c r="E13" i="5"/>
  <c r="E14" i="5"/>
  <c r="E15" i="5"/>
  <c r="E16" i="5"/>
  <c r="M83" i="3"/>
  <c r="N83" i="3"/>
  <c r="L83" i="3"/>
  <c r="G78" i="3"/>
  <c r="H78" i="3"/>
  <c r="I78" i="3"/>
  <c r="F78" i="3"/>
  <c r="M41" i="3"/>
  <c r="N41" i="3"/>
  <c r="M35" i="3"/>
  <c r="M34" i="3"/>
  <c r="M27" i="3"/>
  <c r="F37" i="3"/>
  <c r="G37" i="3"/>
  <c r="H37" i="3"/>
  <c r="E37" i="3"/>
  <c r="E34" i="3"/>
  <c r="H28" i="3"/>
  <c r="G28" i="3"/>
  <c r="F28" i="3"/>
  <c r="E28" i="3"/>
  <c r="F21" i="3"/>
  <c r="G21" i="3"/>
  <c r="H21" i="3"/>
  <c r="E21" i="3"/>
  <c r="P52" i="1"/>
  <c r="F17" i="3"/>
  <c r="D20" i="2"/>
  <c r="D27" i="2"/>
  <c r="E23" i="2"/>
  <c r="F23" i="2" s="1"/>
  <c r="D23" i="2"/>
  <c r="E22" i="2"/>
  <c r="F22" i="2" s="1"/>
  <c r="D22" i="2"/>
  <c r="D21" i="2"/>
  <c r="E21" i="2" s="1"/>
  <c r="F19" i="2"/>
  <c r="E19" i="2"/>
  <c r="D19" i="2"/>
  <c r="E18" i="2"/>
  <c r="F18" i="2" s="1"/>
  <c r="D18" i="2"/>
  <c r="D17" i="2"/>
  <c r="E17" i="2" s="1"/>
  <c r="D16" i="2"/>
  <c r="F15" i="2"/>
  <c r="E15" i="2"/>
  <c r="D15" i="2"/>
  <c r="C8" i="28"/>
  <c r="C12" i="28"/>
  <c r="C9" i="28"/>
  <c r="C10" i="28"/>
  <c r="C11" i="28"/>
  <c r="C13" i="28"/>
  <c r="K3" i="26" l="1"/>
  <c r="E16" i="2"/>
  <c r="F16" i="2" s="1"/>
  <c r="F17" i="2"/>
  <c r="E20" i="2"/>
  <c r="F20" i="2" s="1"/>
  <c r="F21" i="2"/>
  <c r="D28" i="2"/>
  <c r="D29" i="2"/>
  <c r="O19" i="1" a="1"/>
  <c r="O19" i="1"/>
  <c r="O56" i="1"/>
  <c r="O57" i="1"/>
  <c r="R50" i="1"/>
  <c r="R47" i="1"/>
  <c r="R43" i="1"/>
  <c r="R39" i="1"/>
  <c r="B32" i="1"/>
  <c r="B30" i="1"/>
  <c r="B31" i="1"/>
  <c r="B29" i="1"/>
  <c r="I24" i="1"/>
  <c r="I23" i="1"/>
  <c r="I22" i="1"/>
  <c r="I21" i="1"/>
  <c r="I20" i="1"/>
  <c r="I19" i="1"/>
  <c r="I18" i="1"/>
  <c r="I17" i="1"/>
  <c r="I16" i="1"/>
  <c r="K26" i="1" s="1"/>
  <c r="R5" i="1"/>
  <c r="R6" i="1"/>
  <c r="R7" i="1"/>
  <c r="R8" i="1"/>
  <c r="R9" i="1"/>
  <c r="R10" i="1"/>
  <c r="R11" i="1"/>
  <c r="R12" i="1"/>
  <c r="R4" i="1"/>
  <c r="O5" i="1"/>
  <c r="O6" i="1"/>
  <c r="O7" i="1"/>
  <c r="O8" i="1"/>
  <c r="O9" i="1"/>
  <c r="O10" i="1"/>
  <c r="O11" i="1"/>
  <c r="O12" i="1"/>
  <c r="O4" i="1"/>
  <c r="L5" i="1"/>
  <c r="L6" i="1"/>
  <c r="L7" i="1"/>
  <c r="L8" i="1"/>
  <c r="L9" i="1"/>
  <c r="L10" i="1"/>
  <c r="L11" i="1"/>
  <c r="L12" i="1"/>
  <c r="L4" i="1"/>
  <c r="H5" i="1"/>
  <c r="H6" i="1"/>
  <c r="H7" i="1"/>
  <c r="H8" i="1"/>
  <c r="H9" i="1"/>
  <c r="H10" i="1"/>
  <c r="H11" i="1"/>
  <c r="H12" i="1"/>
  <c r="H4" i="1"/>
  <c r="E5" i="1"/>
  <c r="E6" i="1"/>
  <c r="E7" i="1"/>
  <c r="E8" i="1"/>
  <c r="E9" i="1"/>
  <c r="E10" i="1"/>
  <c r="E11" i="1"/>
  <c r="E12" i="1"/>
  <c r="E4" i="1"/>
  <c r="E13" i="28"/>
  <c r="D10" i="28"/>
  <c r="E12" i="28"/>
  <c r="D13" i="28"/>
  <c r="E10" i="28"/>
  <c r="D12" i="28"/>
  <c r="D11" i="28"/>
  <c r="E9" i="28"/>
  <c r="E8" i="28"/>
  <c r="E11" i="28"/>
  <c r="D9" i="28"/>
  <c r="D8" i="28"/>
  <c r="D30"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5C4048-3B57-4476-B6F0-6AAFB9902D1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3A61CBE-6DC0-4F92-AD6D-2B7ED733CFF1}" name="WorksheetConnection_Excel Practice File.xlsx!upciss_std_data_table_1" type="102" refreshedVersion="8" minRefreshableVersion="5">
    <extLst>
      <ext xmlns:x15="http://schemas.microsoft.com/office/spreadsheetml/2010/11/main" uri="{DE250136-89BD-433C-8126-D09CA5730AF9}">
        <x15:connection id="upciss_std_data_table_1" autoDelete="1">
          <x15:rangePr sourceName="_xlcn.WorksheetConnection_ExcelPracticeFile.xlsxupciss_std_data_table_1"/>
        </x15:connection>
      </ext>
    </extLst>
  </connection>
  <connection id="3" xr16:uid="{E77D5A9E-8512-4AF3-B8AC-F5595A449687}" name="WorksheetConnection_Excel Practice File.xlsx!upciss_std_data_table_2" type="102" refreshedVersion="8" minRefreshableVersion="5">
    <extLst>
      <ext xmlns:x15="http://schemas.microsoft.com/office/spreadsheetml/2010/11/main" uri="{DE250136-89BD-433C-8126-D09CA5730AF9}">
        <x15:connection id="upciss_std_data_table_2">
          <x15:rangePr sourceName="_xlcn.WorksheetConnection_ExcelPracticeFile.xlsxupciss_std_data_table_2"/>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upciss_std_data_table_2].[Course].&amp;[ADCA-12 MONTHS]}"/>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<sst xmlns="http://schemas.openxmlformats.org/spreadsheetml/2006/main" count="6866" uniqueCount="1649">
  <si>
    <t>MS Excel Function sum, sumif, sumifs, sumproduct and more</t>
  </si>
  <si>
    <t>Number</t>
  </si>
  <si>
    <t>Result</t>
  </si>
  <si>
    <t>EVEN</t>
  </si>
  <si>
    <t>FACT</t>
  </si>
  <si>
    <t>ODD</t>
  </si>
  <si>
    <t>POWER</t>
  </si>
  <si>
    <t>SUMIF</t>
  </si>
  <si>
    <t>SUMIFS</t>
  </si>
  <si>
    <t>SUMPRODUCT</t>
  </si>
  <si>
    <t>Power</t>
  </si>
  <si>
    <t>ROMAN</t>
  </si>
  <si>
    <t>SQRT</t>
  </si>
  <si>
    <t>SUM</t>
  </si>
  <si>
    <t>Total</t>
  </si>
  <si>
    <t>Course</t>
  </si>
  <si>
    <t>Fee's</t>
  </si>
  <si>
    <t>DICPA</t>
  </si>
  <si>
    <t>O-LEVEL</t>
  </si>
  <si>
    <t>ADCA</t>
  </si>
  <si>
    <t>Total Fee's by Courses</t>
  </si>
  <si>
    <t>SN</t>
  </si>
  <si>
    <t>Roll_No</t>
  </si>
  <si>
    <t>Name</t>
  </si>
  <si>
    <t>Father</t>
  </si>
  <si>
    <t>Gender</t>
  </si>
  <si>
    <t>Admission date</t>
  </si>
  <si>
    <t>Total Fee</t>
  </si>
  <si>
    <t>Deposit Fee</t>
  </si>
  <si>
    <t>State</t>
  </si>
  <si>
    <t>JAY PRAKASH</t>
  </si>
  <si>
    <t>SHASHIKANT DIXIT</t>
  </si>
  <si>
    <t>Male</t>
  </si>
  <si>
    <t>ADSA-06 MONTHS</t>
  </si>
  <si>
    <t>01-01-24</t>
  </si>
  <si>
    <t>Madhya Pradesh</t>
  </si>
  <si>
    <t>ANOOP KUMAR</t>
  </si>
  <si>
    <t>SHRIPAL</t>
  </si>
  <si>
    <t>02-01-24</t>
  </si>
  <si>
    <t>Chhattisgarh</t>
  </si>
  <si>
    <t>LAREB KHAN</t>
  </si>
  <si>
    <t>NASHIM ALI</t>
  </si>
  <si>
    <t>UP</t>
  </si>
  <si>
    <t>PAVAN PRATAP KUMAR</t>
  </si>
  <si>
    <t>TRIBHUVAN LAL</t>
  </si>
  <si>
    <t>SAHIL KHAN</t>
  </si>
  <si>
    <t>GOKUL PRASAD</t>
  </si>
  <si>
    <t>SHAIWAM</t>
  </si>
  <si>
    <t>DEVENDAR SINGH</t>
  </si>
  <si>
    <t>BABLU KUMAR</t>
  </si>
  <si>
    <t>BAGISH KUMAR MISHRA</t>
  </si>
  <si>
    <t>03-01-24</t>
  </si>
  <si>
    <t>JAKELI KHAN</t>
  </si>
  <si>
    <t>RAM LAKHAN</t>
  </si>
  <si>
    <t>Female</t>
  </si>
  <si>
    <t>PRACHI SINGH</t>
  </si>
  <si>
    <t>BRAMHIT KASHYAP</t>
  </si>
  <si>
    <t>SANDEEP KUMAR</t>
  </si>
  <si>
    <t>RAM KHELAVAN</t>
  </si>
  <si>
    <t>ABHISHEK SINGH</t>
  </si>
  <si>
    <t>VINOD KUMAR</t>
  </si>
  <si>
    <t>PARAKJ KUMAR</t>
  </si>
  <si>
    <t>SHAUKAT ALI</t>
  </si>
  <si>
    <t>05-01-24</t>
  </si>
  <si>
    <t>ARUN KUMAR RAJ</t>
  </si>
  <si>
    <t>SHAMSHUL HAQ</t>
  </si>
  <si>
    <t>MNO. KAUSEN RAZA</t>
  </si>
  <si>
    <t>SANTOSH GAUTAM</t>
  </si>
  <si>
    <t>NAND LAL</t>
  </si>
  <si>
    <t>HETRAM</t>
  </si>
  <si>
    <t>Punjab</t>
  </si>
  <si>
    <t>ASHOK KUMAR</t>
  </si>
  <si>
    <t>CHANDRA BHAL</t>
  </si>
  <si>
    <t>ADCA-12 MONTHS</t>
  </si>
  <si>
    <t>18-01-24</t>
  </si>
  <si>
    <t>Odisha</t>
  </si>
  <si>
    <t>GAYATRI DEVI</t>
  </si>
  <si>
    <t>TAHEZEB KHAN</t>
  </si>
  <si>
    <t>JANARDAN PAL</t>
  </si>
  <si>
    <t>RADHEY SHYAM MAURYA</t>
  </si>
  <si>
    <t>APOORVA VERMA</t>
  </si>
  <si>
    <t>ANIL KUMAR MAURYA</t>
  </si>
  <si>
    <t>19-01-24</t>
  </si>
  <si>
    <t>SANJAY KUMAR</t>
  </si>
  <si>
    <t>JAGDISH PRASAD MAURYA</t>
  </si>
  <si>
    <t>20-01-24</t>
  </si>
  <si>
    <t>SUNEL KUMAR</t>
  </si>
  <si>
    <t>RAM MURTI</t>
  </si>
  <si>
    <t>Rajasthan</t>
  </si>
  <si>
    <t>AJAY KUMAR</t>
  </si>
  <si>
    <t>SANTOSH KISHAD</t>
  </si>
  <si>
    <t>DEEPAK KUMAR</t>
  </si>
  <si>
    <t>AWDESH KUMAR MISHRA</t>
  </si>
  <si>
    <t>Average Deposit Fee's</t>
  </si>
  <si>
    <t>Average deposit fee's by state:</t>
  </si>
  <si>
    <t>Function name:</t>
  </si>
  <si>
    <t>AVERAGE</t>
  </si>
  <si>
    <t>AVERAGEIF</t>
  </si>
  <si>
    <t>Average deposit by multiple condition:</t>
  </si>
  <si>
    <t>AVERAGEIFS</t>
  </si>
  <si>
    <t>COUNTIFS</t>
  </si>
  <si>
    <t>COUNTIF</t>
  </si>
  <si>
    <t>MODE</t>
  </si>
  <si>
    <r>
      <rPr>
        <b/>
        <sz val="26"/>
        <color rgb="FF002060"/>
        <rFont val="Aptos Narrow"/>
        <family val="2"/>
        <scheme val="minor"/>
      </rPr>
      <t>UPCISS SALES AND SERVICE</t>
    </r>
    <r>
      <rPr>
        <sz val="11"/>
        <color theme="1"/>
        <rFont val="Aptos Narrow"/>
        <family val="2"/>
        <scheme val="minor"/>
      </rPr>
      <t xml:space="preserve">
</t>
    </r>
    <r>
      <rPr>
        <b/>
        <sz val="12"/>
        <color theme="1"/>
        <rFont val="Aptos Narrow"/>
        <family val="2"/>
        <scheme val="minor"/>
      </rPr>
      <t xml:space="preserve">Add. Mela Maidan Lakimpur Kheri 262701 (Contact No. +966 20 28 522)
</t>
    </r>
    <r>
      <rPr>
        <b/>
        <sz val="18"/>
        <color rgb="FF0070C0"/>
        <rFont val="Aptos Narrow"/>
        <family val="2"/>
        <scheme val="minor"/>
      </rPr>
      <t>GSTIN: 068SHRD478EB14</t>
    </r>
  </si>
  <si>
    <t>To,</t>
  </si>
  <si>
    <t>Jitendra Verma</t>
  </si>
  <si>
    <t>Date: 21/03/2025</t>
  </si>
  <si>
    <t>Lalkhimpur, Uttar Paradesh, India</t>
  </si>
  <si>
    <t>Contact no: +8801789499829</t>
  </si>
  <si>
    <t>Item name</t>
  </si>
  <si>
    <t>Qty</t>
  </si>
  <si>
    <t>Rate</t>
  </si>
  <si>
    <t>Amount</t>
  </si>
  <si>
    <t>GST</t>
  </si>
  <si>
    <t>Total Amount</t>
  </si>
  <si>
    <t>ANT Cabinet rgb</t>
  </si>
  <si>
    <t>Asus Mother Board</t>
  </si>
  <si>
    <t>Intel CPU i7 12th Gen</t>
  </si>
  <si>
    <t>SMPS 450w</t>
  </si>
  <si>
    <t>RAM 16GB DDR4</t>
  </si>
  <si>
    <t>SSD 512GB nvme</t>
  </si>
  <si>
    <t>Keyboard</t>
  </si>
  <si>
    <t>Mouse</t>
  </si>
  <si>
    <t>TFT Acer 16''</t>
  </si>
  <si>
    <t>Sub Total</t>
  </si>
  <si>
    <t>SGST 9%</t>
  </si>
  <si>
    <t>CGST 9%</t>
  </si>
  <si>
    <r>
      <rPr>
        <b/>
        <sz val="11"/>
        <color theme="1"/>
        <rFont val="Aptos Narrow"/>
        <family val="2"/>
        <scheme val="minor"/>
      </rPr>
      <t>Bank Details:</t>
    </r>
    <r>
      <rPr>
        <sz val="11"/>
        <color theme="1"/>
        <rFont val="Aptos Narrow"/>
        <family val="2"/>
        <scheme val="minor"/>
      </rPr>
      <t xml:space="preserve">
UPCISS Sales and Service
BOB Bank
</t>
    </r>
    <r>
      <rPr>
        <b/>
        <sz val="11"/>
        <color theme="1"/>
        <rFont val="Aptos Narrow"/>
        <family val="2"/>
        <scheme val="minor"/>
      </rPr>
      <t>A/C No. 1700545654657
IFSC Code: BARBOKAFARA</t>
    </r>
  </si>
  <si>
    <t>(Signature)</t>
  </si>
  <si>
    <t>Ms Excel Functions VLookup, HLookup, Index, Match, DGET</t>
  </si>
  <si>
    <t>Student ID</t>
  </si>
  <si>
    <t>Age</t>
  </si>
  <si>
    <t>BT</t>
  </si>
  <si>
    <t>S1</t>
  </si>
  <si>
    <t>S2</t>
  </si>
  <si>
    <t>S3</t>
  </si>
  <si>
    <t>S4</t>
  </si>
  <si>
    <t>S5</t>
  </si>
  <si>
    <t>Anifa</t>
  </si>
  <si>
    <t>Anaf</t>
  </si>
  <si>
    <t>Maria</t>
  </si>
  <si>
    <t>Humaira</t>
  </si>
  <si>
    <t>Riya</t>
  </si>
  <si>
    <t>DCA</t>
  </si>
  <si>
    <t>CCC</t>
  </si>
  <si>
    <t>8 To 10</t>
  </si>
  <si>
    <t>10 To 11</t>
  </si>
  <si>
    <t>2 To 4</t>
  </si>
  <si>
    <t>Sale Mar.</t>
  </si>
  <si>
    <t>Sale Fav.</t>
  </si>
  <si>
    <t>Sale Jan.</t>
  </si>
  <si>
    <t>LOOKUP</t>
  </si>
  <si>
    <t>VLOOKUP</t>
  </si>
  <si>
    <t>HLOOKUP</t>
  </si>
  <si>
    <t>INDEX</t>
  </si>
  <si>
    <t>MATCH</t>
  </si>
  <si>
    <t>IFERROR</t>
  </si>
  <si>
    <t>DGET</t>
  </si>
  <si>
    <t>s5</t>
  </si>
  <si>
    <r>
      <t>Enter (</t>
    </r>
    <r>
      <rPr>
        <b/>
        <sz val="12"/>
        <color theme="1"/>
        <rFont val="Aptos Narrow"/>
        <family val="2"/>
        <scheme val="minor"/>
      </rPr>
      <t>D17</t>
    </r>
    <r>
      <rPr>
        <sz val="12"/>
        <color theme="1"/>
        <rFont val="Aptos Narrow"/>
        <family val="2"/>
        <scheme val="minor"/>
      </rPr>
      <t>) student id to know his/her</t>
    </r>
    <r>
      <rPr>
        <b/>
        <sz val="12"/>
        <color theme="1"/>
        <rFont val="Aptos Narrow"/>
        <family val="2"/>
        <scheme val="minor"/>
      </rPr>
      <t xml:space="preserve"> course name</t>
    </r>
    <r>
      <rPr>
        <sz val="12"/>
        <color theme="1"/>
        <rFont val="Aptos Narrow"/>
        <family val="2"/>
        <scheme val="minor"/>
      </rPr>
      <t>:</t>
    </r>
  </si>
  <si>
    <r>
      <t>Enter (</t>
    </r>
    <r>
      <rPr>
        <b/>
        <sz val="12"/>
        <color theme="1"/>
        <rFont val="Aptos Narrow"/>
        <family val="2"/>
        <scheme val="minor"/>
      </rPr>
      <t>D21</t>
    </r>
    <r>
      <rPr>
        <sz val="12"/>
        <color theme="1"/>
        <rFont val="Aptos Narrow"/>
        <family val="2"/>
        <scheme val="minor"/>
      </rPr>
      <t>) student id to know his/her</t>
    </r>
    <r>
      <rPr>
        <b/>
        <sz val="12"/>
        <color theme="1"/>
        <rFont val="Aptos Narrow"/>
        <family val="2"/>
        <scheme val="minor"/>
      </rPr>
      <t xml:space="preserve"> full info</t>
    </r>
    <r>
      <rPr>
        <sz val="12"/>
        <color theme="1"/>
        <rFont val="Aptos Narrow"/>
        <family val="2"/>
        <scheme val="minor"/>
      </rPr>
      <t>:</t>
    </r>
  </si>
  <si>
    <t>st. name</t>
  </si>
  <si>
    <t>course</t>
  </si>
  <si>
    <t>age</t>
  </si>
  <si>
    <t>s4</t>
  </si>
  <si>
    <t>st. id</t>
  </si>
  <si>
    <t>s2</t>
  </si>
  <si>
    <t>without column value</t>
  </si>
  <si>
    <t>with column value</t>
  </si>
  <si>
    <t>INDEX, MATCH and IFERROR  Func COMBINE</t>
  </si>
  <si>
    <t>ID No.</t>
  </si>
  <si>
    <t>B.Time</t>
  </si>
  <si>
    <t>9 to 10</t>
  </si>
  <si>
    <t>3 to 6</t>
  </si>
  <si>
    <t>2 to 4</t>
  </si>
  <si>
    <t>3 to 4</t>
  </si>
  <si>
    <t>4 to 6</t>
  </si>
  <si>
    <t>9 to 5</t>
  </si>
  <si>
    <t>3 to 5</t>
  </si>
  <si>
    <t>8 to 10</t>
  </si>
  <si>
    <t>2 to 3</t>
  </si>
  <si>
    <t>5 to 7</t>
  </si>
  <si>
    <t>6 to 9</t>
  </si>
  <si>
    <t>10 to 12</t>
  </si>
  <si>
    <t>11 to 1</t>
  </si>
  <si>
    <t>9 to 11</t>
  </si>
  <si>
    <t>5 to 8</t>
  </si>
  <si>
    <t>4 to 7</t>
  </si>
  <si>
    <t>7 to 9</t>
  </si>
  <si>
    <t>Contact No</t>
  </si>
  <si>
    <t>https://youtu.be/8PProqZcq58?si=aqncFOZdvXS1_aGV</t>
  </si>
  <si>
    <t>Tutorial Link</t>
  </si>
  <si>
    <t>Ms Excel Logical Functions, IF, AND, OR, NOT</t>
  </si>
  <si>
    <t>Equal to</t>
  </si>
  <si>
    <t>Greater than</t>
  </si>
  <si>
    <t>Less than</t>
  </si>
  <si>
    <t>Greater than or equal to</t>
  </si>
  <si>
    <t>Less than or equal to</t>
  </si>
  <si>
    <t>Not equal to</t>
  </si>
  <si>
    <t>Cibil Score</t>
  </si>
  <si>
    <t>&gt;</t>
  </si>
  <si>
    <t>&lt;</t>
  </si>
  <si>
    <t>&gt;=</t>
  </si>
  <si>
    <t>&lt;=</t>
  </si>
  <si>
    <t>!=</t>
  </si>
  <si>
    <t>=</t>
  </si>
  <si>
    <t>Salary</t>
  </si>
  <si>
    <t>Loan Amount</t>
  </si>
  <si>
    <t>Akbar</t>
  </si>
  <si>
    <t>Dalal</t>
  </si>
  <si>
    <t>Ramu</t>
  </si>
  <si>
    <t>Nahid</t>
  </si>
  <si>
    <t>Rajin</t>
  </si>
  <si>
    <t>Kisor</t>
  </si>
  <si>
    <t>Rishad</t>
  </si>
  <si>
    <t>Laboni</t>
  </si>
  <si>
    <t>Shathi</t>
  </si>
  <si>
    <t>Rehana</t>
  </si>
  <si>
    <t>AND &amp; OR</t>
  </si>
  <si>
    <t>NOT</t>
  </si>
  <si>
    <t>Financial Functions, FV, PMT, Rate, NPER, PV</t>
  </si>
  <si>
    <t xml:space="preserve">Financial </t>
  </si>
  <si>
    <t>FV</t>
  </si>
  <si>
    <t>Future value</t>
  </si>
  <si>
    <t>Interest value of annuity payment</t>
  </si>
  <si>
    <t>Principal Value Of Annuity Payment</t>
  </si>
  <si>
    <t>Interest</t>
  </si>
  <si>
    <t>Number of Periods</t>
  </si>
  <si>
    <t>Present Value</t>
  </si>
  <si>
    <t>PMT</t>
  </si>
  <si>
    <t>IPMT</t>
  </si>
  <si>
    <t>PPMT</t>
  </si>
  <si>
    <t>RATE</t>
  </si>
  <si>
    <t>NPER</t>
  </si>
  <si>
    <t>PV</t>
  </si>
  <si>
    <t>Annuity Payment (Installment)</t>
  </si>
  <si>
    <t>FV (Future Value)</t>
  </si>
  <si>
    <t>RD Premium</t>
  </si>
  <si>
    <t>Month</t>
  </si>
  <si>
    <t>Rate of Interest</t>
  </si>
  <si>
    <t>type 0 for end of the period</t>
  </si>
  <si>
    <t>type 1 for the beginning of the period</t>
  </si>
  <si>
    <t>FD Premium</t>
  </si>
  <si>
    <t>PMT, IPMT, PPMT</t>
  </si>
  <si>
    <t>Loan</t>
  </si>
  <si>
    <t>Periods in month</t>
  </si>
  <si>
    <t xml:space="preserve"> </t>
  </si>
  <si>
    <t>Period in Months</t>
  </si>
  <si>
    <t>Rate of int</t>
  </si>
  <si>
    <t>Per</t>
  </si>
  <si>
    <t>pmt</t>
  </si>
  <si>
    <t>ipmt</t>
  </si>
  <si>
    <t>ppmt</t>
  </si>
  <si>
    <t>pv</t>
  </si>
  <si>
    <t>nper</t>
  </si>
  <si>
    <t>CSA-06 MONTHS</t>
  </si>
  <si>
    <t>GDA-06 MONTHS</t>
  </si>
  <si>
    <t>ADSA-12 MONTHS</t>
  </si>
  <si>
    <t>ADCA-06 MONTHS</t>
  </si>
  <si>
    <t>TDA-12 MONTHS</t>
  </si>
  <si>
    <t>CSA-12 MONTHS</t>
  </si>
  <si>
    <t>TDA-06 MONTHS</t>
  </si>
  <si>
    <t>Select Course Name: 👇</t>
  </si>
  <si>
    <t>Total Courses:</t>
  </si>
  <si>
    <t>cvv;lkc</t>
  </si>
  <si>
    <t>f,dfm</t>
  </si>
  <si>
    <t>dfe</t>
  </si>
  <si>
    <t>ds</t>
  </si>
  <si>
    <t>Row Labels</t>
  </si>
  <si>
    <t>Grand Total</t>
  </si>
  <si>
    <t>Count of Roll_No</t>
  </si>
  <si>
    <t>Column Labels</t>
  </si>
  <si>
    <t>Category</t>
  </si>
  <si>
    <t>Sub_cate</t>
  </si>
  <si>
    <t>Date</t>
  </si>
  <si>
    <t>Income</t>
  </si>
  <si>
    <t>Business Income</t>
  </si>
  <si>
    <t>Consulting</t>
  </si>
  <si>
    <t>Workshop</t>
  </si>
  <si>
    <t>Online</t>
  </si>
  <si>
    <t>Expence</t>
  </si>
  <si>
    <t>Stationary</t>
  </si>
  <si>
    <t>Transportation</t>
  </si>
  <si>
    <t>Electricity</t>
  </si>
  <si>
    <t>Water</t>
  </si>
  <si>
    <t>Internet</t>
  </si>
  <si>
    <t>Rent</t>
  </si>
  <si>
    <t>Other</t>
  </si>
  <si>
    <t>Sum of Amount</t>
  </si>
  <si>
    <t>Group1</t>
  </si>
  <si>
    <t>Group2</t>
  </si>
  <si>
    <t>State2</t>
  </si>
  <si>
    <t>Sum of Deposit Fee</t>
  </si>
  <si>
    <t>Rool_No</t>
  </si>
  <si>
    <t>ADASM-06 MONTHS</t>
  </si>
  <si>
    <t>West Bengal</t>
  </si>
  <si>
    <t>PAVAN PRATAP SINGH</t>
  </si>
  <si>
    <t>Bihar</t>
  </si>
  <si>
    <t>SHIVAM</t>
  </si>
  <si>
    <t>Goa</t>
  </si>
  <si>
    <t>Gujarat</t>
  </si>
  <si>
    <t>JAKEEL KHAN</t>
  </si>
  <si>
    <t>Haryana</t>
  </si>
  <si>
    <t>BRAJNATH KASHYAP</t>
  </si>
  <si>
    <t>Himachal Pradesh</t>
  </si>
  <si>
    <t>RAM KHELAWAN</t>
  </si>
  <si>
    <t>Jharkhand</t>
  </si>
  <si>
    <t>PANKAJ KUMAR</t>
  </si>
  <si>
    <t>ARJUN KUMAR RAJ</t>
  </si>
  <si>
    <t>MO. KAUSEN RAZA</t>
  </si>
  <si>
    <t>Maharashtra</t>
  </si>
  <si>
    <t>TAHZEEB KHAN</t>
  </si>
  <si>
    <t>SUNEEL KUMAR</t>
  </si>
  <si>
    <t>SANTOSH NISHAD</t>
  </si>
  <si>
    <t>Chandigarh</t>
  </si>
  <si>
    <t>AVDHESH KUMAR MISHRA</t>
  </si>
  <si>
    <t>VINEET KUMAR</t>
  </si>
  <si>
    <t>TEJKARAN</t>
  </si>
  <si>
    <t>KAMLESH</t>
  </si>
  <si>
    <t>PRADEEP KUMAR AWASHTI</t>
  </si>
  <si>
    <t>SURAJ KUMAR TIWARI</t>
  </si>
  <si>
    <t>JAY PRAKASH CHAURASIYA</t>
  </si>
  <si>
    <t>Uttar Pradesh</t>
  </si>
  <si>
    <t>UMESH KUMAR</t>
  </si>
  <si>
    <t>RAVENDRA KUMAR</t>
  </si>
  <si>
    <t>Uttarakhand</t>
  </si>
  <si>
    <t>PALLAVI DEVI</t>
  </si>
  <si>
    <t>RAKESH GUPTA</t>
  </si>
  <si>
    <t>VIKRAM</t>
  </si>
  <si>
    <t>MOH ARIF</t>
  </si>
  <si>
    <t>DCA-12 MONTHS</t>
  </si>
  <si>
    <t>AMAN JAISWAL</t>
  </si>
  <si>
    <t>AZAMUDDEEN</t>
  </si>
  <si>
    <t>MADHAV RAM</t>
  </si>
  <si>
    <t>JAMEER AHMAD</t>
  </si>
  <si>
    <t>SHAMSUDDIN</t>
  </si>
  <si>
    <t>JUGUL KISHOR</t>
  </si>
  <si>
    <t>Delhi</t>
  </si>
  <si>
    <t>SHIVANI PAL</t>
  </si>
  <si>
    <t>GUR DAYAL SINGH</t>
  </si>
  <si>
    <t>RAVIN NIGAM</t>
  </si>
  <si>
    <t>HARIOM MISHRA</t>
  </si>
  <si>
    <t>NAVNEET</t>
  </si>
  <si>
    <t>RAM NARESH</t>
  </si>
  <si>
    <t>SHADAB ANSARI</t>
  </si>
  <si>
    <t>RAM KISHORE KASHYAP</t>
  </si>
  <si>
    <t>MANISH KUMAR</t>
  </si>
  <si>
    <t>CHHOTE LAL</t>
  </si>
  <si>
    <t>MOHAMMAD ALMAS</t>
  </si>
  <si>
    <t>PRAHLAD SINGH</t>
  </si>
  <si>
    <t>ROSHNI DEVI</t>
  </si>
  <si>
    <t>RAJESH KUMAR</t>
  </si>
  <si>
    <t>AKASH DEEP SINGH</t>
  </si>
  <si>
    <t>CHANDRIKA PRASAD</t>
  </si>
  <si>
    <t>SURAJ KUMAR</t>
  </si>
  <si>
    <t>RAM GOPAL SONY</t>
  </si>
  <si>
    <t>IRFAN</t>
  </si>
  <si>
    <t>ASHRAF ALI</t>
  </si>
  <si>
    <t>ABHISHEK</t>
  </si>
  <si>
    <t>VEERENDRA KUMAR</t>
  </si>
  <si>
    <t>DINESH KUMAR</t>
  </si>
  <si>
    <t>RAM ASARE</t>
  </si>
  <si>
    <t>BALVEER SINGH</t>
  </si>
  <si>
    <t>SARVESH KUMAR</t>
  </si>
  <si>
    <t>ARVESH KUMAR</t>
  </si>
  <si>
    <t>RAMESH KUMAR</t>
  </si>
  <si>
    <t>JAGTAR SINGH</t>
  </si>
  <si>
    <t>RAM CHANDRA</t>
  </si>
  <si>
    <t>UTTAM PRAKASH PANDEY</t>
  </si>
  <si>
    <t>SUJATA SHENDAGE</t>
  </si>
  <si>
    <t>MO. SHAREEF</t>
  </si>
  <si>
    <t>RAMENDRA KUMAR</t>
  </si>
  <si>
    <t>BIRENDRA KUMAR PANDEY</t>
  </si>
  <si>
    <t>JAI PRAKASH</t>
  </si>
  <si>
    <t>TANMAY RAY</t>
  </si>
  <si>
    <t>RAM GOPAL</t>
  </si>
  <si>
    <t>RUKHMA DEVI</t>
  </si>
  <si>
    <t>RADHESHYAM</t>
  </si>
  <si>
    <t>MANOJ KUMAR</t>
  </si>
  <si>
    <t>SAIDUL HASAN</t>
  </si>
  <si>
    <t>RIYA SHRIVASTAVA</t>
  </si>
  <si>
    <t>RAM NIWAS</t>
  </si>
  <si>
    <t>SATYAM TIWARI</t>
  </si>
  <si>
    <t>VIKRAMA RAJBHAR</t>
  </si>
  <si>
    <t>RANJEET KUMAR RAJ</t>
  </si>
  <si>
    <t>BACHAN LAL</t>
  </si>
  <si>
    <t>VIPIN MISHRA</t>
  </si>
  <si>
    <t>BHAIRAV SINGH</t>
  </si>
  <si>
    <t>KULDEEP KUMAR</t>
  </si>
  <si>
    <t>AJAY BARANWAL</t>
  </si>
  <si>
    <t>ADFA-12 MONTHS</t>
  </si>
  <si>
    <t>JYOTI YADAV</t>
  </si>
  <si>
    <t>MOHAMMAD IRFAN</t>
  </si>
  <si>
    <t>PRANSHU MISHRA</t>
  </si>
  <si>
    <t>AMBIKA SHUKLA</t>
  </si>
  <si>
    <t>VISHNU</t>
  </si>
  <si>
    <t>MAHFOOZ KHAN</t>
  </si>
  <si>
    <t>MOHIT NAG</t>
  </si>
  <si>
    <t>KAMLESH KUMAR</t>
  </si>
  <si>
    <t>RAGHVENDRA SHUKLA</t>
  </si>
  <si>
    <t>RAMAKANT</t>
  </si>
  <si>
    <t>VAIBHAV AWASTHI</t>
  </si>
  <si>
    <t>NAUSAD ALI</t>
  </si>
  <si>
    <t>AKEEL KHAN</t>
  </si>
  <si>
    <t>DEVRAJ</t>
  </si>
  <si>
    <t>AYUSH MISHRA</t>
  </si>
  <si>
    <t>SHIVCHARAN</t>
  </si>
  <si>
    <t>NAJIS BANO</t>
  </si>
  <si>
    <t>WAHID ALI</t>
  </si>
  <si>
    <t>FIRDAUSH BARI</t>
  </si>
  <si>
    <t>HIMANSHU YADAV</t>
  </si>
  <si>
    <t>RAM SHANKAR</t>
  </si>
  <si>
    <t>SHAHNUMA BANO</t>
  </si>
  <si>
    <t>YOGENDRA PRASAD YADAV</t>
  </si>
  <si>
    <t>ASHWANI KUMAR VERMA</t>
  </si>
  <si>
    <t>RAJESH KUMAR VISHWAKARMA</t>
  </si>
  <si>
    <t>SHUBHAM KUMAR</t>
  </si>
  <si>
    <t>JAMUNA PRASAD</t>
  </si>
  <si>
    <t>AVIRAL SHUKLA</t>
  </si>
  <si>
    <t>KRISHAN KUMAR</t>
  </si>
  <si>
    <t>PRINCE CHAURASIYA</t>
  </si>
  <si>
    <t>SHRAVAN KUMAR</t>
  </si>
  <si>
    <t>SHIVAM VERMA</t>
  </si>
  <si>
    <t>RAMA SHANKAR</t>
  </si>
  <si>
    <t>PALAK DEVI</t>
  </si>
  <si>
    <t>RAKESH MISHRA</t>
  </si>
  <si>
    <t>SAUMYA VERMA</t>
  </si>
  <si>
    <t>NAZIR AHMAD</t>
  </si>
  <si>
    <t>VAIBHAV GUPTA</t>
  </si>
  <si>
    <t>GENDAN LAL</t>
  </si>
  <si>
    <t>RAJESH GUTPA</t>
  </si>
  <si>
    <t>DCS-06 MONTHS</t>
  </si>
  <si>
    <t>RAJ BAHADUR</t>
  </si>
  <si>
    <t>ANSHUMAN</t>
  </si>
  <si>
    <t>MUBARAK ALI</t>
  </si>
  <si>
    <t>ARPIT SHUKLA</t>
  </si>
  <si>
    <t>BRAJESH KUMAR</t>
  </si>
  <si>
    <t>MAYANK GUPTA</t>
  </si>
  <si>
    <t>RAVI YADAV</t>
  </si>
  <si>
    <t>ASHISH KUMAR</t>
  </si>
  <si>
    <t>AATM PRAKASH</t>
  </si>
  <si>
    <t>PRINCE MISHRA</t>
  </si>
  <si>
    <t>JAGDEESH KUMAR</t>
  </si>
  <si>
    <t>RAVI KANT</t>
  </si>
  <si>
    <t>GANGA RAM YADAV</t>
  </si>
  <si>
    <t>AKASH KUMAR</t>
  </si>
  <si>
    <t>BINDRA PRASAD</t>
  </si>
  <si>
    <t>NEHA VERMA</t>
  </si>
  <si>
    <t>SANTOSH KASHYAP</t>
  </si>
  <si>
    <t>NUJHAT KHATOON</t>
  </si>
  <si>
    <t>RAJESH KUMR VERMA</t>
  </si>
  <si>
    <t>ELMA</t>
  </si>
  <si>
    <t>RAM AUTAR</t>
  </si>
  <si>
    <t>VIJAY KUMAR</t>
  </si>
  <si>
    <t>JOOLI</t>
  </si>
  <si>
    <t>AJAY MISHRA</t>
  </si>
  <si>
    <t>MUSKAN</t>
  </si>
  <si>
    <t>GALLAR PRASAD</t>
  </si>
  <si>
    <t>ZUBAIDA KHATOON</t>
  </si>
  <si>
    <t>SANJAY KUMAR SRIVASTAVA</t>
  </si>
  <si>
    <t>ANJALI SINGH</t>
  </si>
  <si>
    <t>ISRAR KHAN</t>
  </si>
  <si>
    <t>ARPIT MISHRA</t>
  </si>
  <si>
    <t>REKHA SINGH</t>
  </si>
  <si>
    <t xml:space="preserve">MAHADEV PRASAD </t>
  </si>
  <si>
    <t>RUBI SINGH</t>
  </si>
  <si>
    <t>RAM PAL</t>
  </si>
  <si>
    <t>LAV KUMAR</t>
  </si>
  <si>
    <t>MOHD ASIB KHAN</t>
  </si>
  <si>
    <t>RAIS KHAN</t>
  </si>
  <si>
    <t>MOHAMMAD YASIR</t>
  </si>
  <si>
    <t>AKHTAR YAR KHAN</t>
  </si>
  <si>
    <t>RAVI KUMAR</t>
  </si>
  <si>
    <t>VIVEK KUMAR VERMA</t>
  </si>
  <si>
    <t>UTTAM KUMAR</t>
  </si>
  <si>
    <t>AZARA BANO</t>
  </si>
  <si>
    <t>OM NARAYAN</t>
  </si>
  <si>
    <t>MAHIRA BEGUM</t>
  </si>
  <si>
    <t>GYANENDRA KUMAR VERMA</t>
  </si>
  <si>
    <t>RAHNUMA ANZUM</t>
  </si>
  <si>
    <t>RAJU KASHYAP</t>
  </si>
  <si>
    <t>NARGISH</t>
  </si>
  <si>
    <t>GUDDU</t>
  </si>
  <si>
    <t>VIMAL DIXIT</t>
  </si>
  <si>
    <t>MOH AHMAD</t>
  </si>
  <si>
    <t xml:space="preserve">KAMAL AHMAD </t>
  </si>
  <si>
    <t>MADARI</t>
  </si>
  <si>
    <t>SUNDAR LAL</t>
  </si>
  <si>
    <t>BALAK RAM</t>
  </si>
  <si>
    <t>KAILASH CHANDRA PAL</t>
  </si>
  <si>
    <t>RAMCHANDRA</t>
  </si>
  <si>
    <t>BABU RAM</t>
  </si>
  <si>
    <t>RAM CHANDRA YADAV</t>
  </si>
  <si>
    <t>SURAJ PRASAD</t>
  </si>
  <si>
    <t>VIPIN KUMAR VERMA</t>
  </si>
  <si>
    <t>JAMEEL HASAN</t>
  </si>
  <si>
    <t>HEERA LAL</t>
  </si>
  <si>
    <t>RITESH KUMAR GUPTA</t>
  </si>
  <si>
    <t>SHAILENDRA KUMAR</t>
  </si>
  <si>
    <t>JAGMOHAN VERMA</t>
  </si>
  <si>
    <t>SHAILESH KUMAR MISHRA</t>
  </si>
  <si>
    <t>MOH ASHFAQ</t>
  </si>
  <si>
    <t>KM GAYATRI SRIVASTAVA</t>
  </si>
  <si>
    <t>RAKESH KUMAR</t>
  </si>
  <si>
    <t>SHREYA SINGH</t>
  </si>
  <si>
    <t>ARVIND</t>
  </si>
  <si>
    <t>DIPENDRA KUMAR</t>
  </si>
  <si>
    <t>ASHOK</t>
  </si>
  <si>
    <t>RAJU</t>
  </si>
  <si>
    <t>SUNEEL VERMA</t>
  </si>
  <si>
    <t>MOHIT MISHRA</t>
  </si>
  <si>
    <t>RAMU MISHRA</t>
  </si>
  <si>
    <t>SONU RAJ</t>
  </si>
  <si>
    <t>RAKESH CHANDRA MISHRA</t>
  </si>
  <si>
    <t>TAUKEEL ALI</t>
  </si>
  <si>
    <t>AJAY RAJ</t>
  </si>
  <si>
    <t>SARVAN KUMAR</t>
  </si>
  <si>
    <t>ATUL PANDEY</t>
  </si>
  <si>
    <t>SURESH KUMAR</t>
  </si>
  <si>
    <t>JAGDEV PRASAD</t>
  </si>
  <si>
    <t>ANIYA SINGH BHADAURIYA</t>
  </si>
  <si>
    <t>ARVIND KUAMR</t>
  </si>
  <si>
    <t>SACHIN</t>
  </si>
  <si>
    <t>AJAY</t>
  </si>
  <si>
    <t>MANPREET SINGH</t>
  </si>
  <si>
    <t>LEKH RAM</t>
  </si>
  <si>
    <t>RITESH TRIVEDI</t>
  </si>
  <si>
    <t>VIVEK KUMAR</t>
  </si>
  <si>
    <t>OM PRAKASH</t>
  </si>
  <si>
    <t>ANKUR PAL</t>
  </si>
  <si>
    <t>PUTTU LAL</t>
  </si>
  <si>
    <t>ISRAIL</t>
  </si>
  <si>
    <t>SHRI RAJNEESH KUMAR</t>
  </si>
  <si>
    <t>USMAN ALI</t>
  </si>
  <si>
    <t>ALOK RAY DHANGAR</t>
  </si>
  <si>
    <t>ABDUL GANI KHAN</t>
  </si>
  <si>
    <t>SANTOSH KUMAR RAJ</t>
  </si>
  <si>
    <t>RATI RAM</t>
  </si>
  <si>
    <t>ARVIND YADAV</t>
  </si>
  <si>
    <t>RAJ KAMAL</t>
  </si>
  <si>
    <t>DIPESH SINGH MANAR</t>
  </si>
  <si>
    <t>RAM NARESH CHAURASIA</t>
  </si>
  <si>
    <t>MUSTAKEEM</t>
  </si>
  <si>
    <t>MONSOOR ALI</t>
  </si>
  <si>
    <t>DHEERAJ KUMAR</t>
  </si>
  <si>
    <t>MAIKU LAL</t>
  </si>
  <si>
    <t>GULSHAN YADAV</t>
  </si>
  <si>
    <t>ARJUN LAL</t>
  </si>
  <si>
    <t>MANJEET SINGH</t>
  </si>
  <si>
    <t>DEVENDRA KUMAR</t>
  </si>
  <si>
    <t>ANKIT KUMAR</t>
  </si>
  <si>
    <t>DEENDAYAL DIXIT</t>
  </si>
  <si>
    <t>BRIJ KISHOR GAUR</t>
  </si>
  <si>
    <t>ANOOP MISHRA</t>
  </si>
  <si>
    <t>RAJESH CHANDRA SRIVASTAVA</t>
  </si>
  <si>
    <t xml:space="preserve">EHSAN ALI </t>
  </si>
  <si>
    <t>MAHESH</t>
  </si>
  <si>
    <t>AADESH KUMAR</t>
  </si>
  <si>
    <t>ADITYA CHAUDHARY</t>
  </si>
  <si>
    <t>SHYAM MOHAN SINGH</t>
  </si>
  <si>
    <t>UDIT VERMA</t>
  </si>
  <si>
    <t>MAHABEER</t>
  </si>
  <si>
    <t>DEVANSH SINGH</t>
  </si>
  <si>
    <t>HARI PRASAD DIXIT</t>
  </si>
  <si>
    <t>GANESH RANA</t>
  </si>
  <si>
    <t>SANJAY KUMAR MISHRA</t>
  </si>
  <si>
    <t xml:space="preserve">BABLU MAURYA </t>
  </si>
  <si>
    <t>RAM SEVAK</t>
  </si>
  <si>
    <t xml:space="preserve">SUCHEE DEVI </t>
  </si>
  <si>
    <t>MOHD SULTAN GANIE</t>
  </si>
  <si>
    <t>PALLVI VERMA</t>
  </si>
  <si>
    <t>SAMSUDDIN</t>
  </si>
  <si>
    <t>SHUBHAM GIRI</t>
  </si>
  <si>
    <t>TAJ KHAN</t>
  </si>
  <si>
    <t>MANMATH HARANGULE</t>
  </si>
  <si>
    <t>DURGESH DIXIT</t>
  </si>
  <si>
    <t>ANKUR SINGH</t>
  </si>
  <si>
    <t>NAVAL KISHOR GAUTAM</t>
  </si>
  <si>
    <t>FURKAN ANSARI</t>
  </si>
  <si>
    <t>SHUBHAM SINGH</t>
  </si>
  <si>
    <t>PRMOD KUMAR</t>
  </si>
  <si>
    <t>ADARSH KUMAR</t>
  </si>
  <si>
    <t xml:space="preserve">KHUSHI MISHRA </t>
  </si>
  <si>
    <t xml:space="preserve">RADHEY SHYAM </t>
  </si>
  <si>
    <t>KULDEEP KEVAT</t>
  </si>
  <si>
    <t xml:space="preserve">AKHILESH KUMAR </t>
  </si>
  <si>
    <t xml:space="preserve">ABHISHEK VERMA </t>
  </si>
  <si>
    <t>JASWANT KUMAR</t>
  </si>
  <si>
    <t>NIDA KHATOON</t>
  </si>
  <si>
    <t>HARISHCHANDRA</t>
  </si>
  <si>
    <t>ZUFISHA IRFAN</t>
  </si>
  <si>
    <t>MAHESH SINGH</t>
  </si>
  <si>
    <t>ANUJ MAURYA</t>
  </si>
  <si>
    <t>SURENDRA KUMAR</t>
  </si>
  <si>
    <t>ARMAN AHMAD</t>
  </si>
  <si>
    <t>SHYAM LAL</t>
  </si>
  <si>
    <t>TAYYABA IRFAN</t>
  </si>
  <si>
    <t>MUSKAN MANSURI</t>
  </si>
  <si>
    <t>AJAY PRAKASH MISHRA</t>
  </si>
  <si>
    <t>PRADEEP KUMAR VERMA</t>
  </si>
  <si>
    <t>SARVESH KUMAR VERMA</t>
  </si>
  <si>
    <t>RITIKA SHUKLA</t>
  </si>
  <si>
    <t xml:space="preserve">AKANKSHA AWASTHI </t>
  </si>
  <si>
    <t xml:space="preserve">ANJALI </t>
  </si>
  <si>
    <t>SHYAM KUMAR</t>
  </si>
  <si>
    <t>RAMSOCH YADAV</t>
  </si>
  <si>
    <t>MOHD HASSAN</t>
  </si>
  <si>
    <t>DEVENDRA VERMA</t>
  </si>
  <si>
    <t>RUDRA PRATAP SINGH</t>
  </si>
  <si>
    <t>SHARDA PRASAD</t>
  </si>
  <si>
    <t xml:space="preserve">SARANJEET KAUR  </t>
  </si>
  <si>
    <t>JAWAHAR LAL RANA</t>
  </si>
  <si>
    <t>GEETA RAJ</t>
  </si>
  <si>
    <t>LALLAN SWAROOP DIXIT</t>
  </si>
  <si>
    <t>SHIVANSH VERMA</t>
  </si>
  <si>
    <t>JATINDER SINGH</t>
  </si>
  <si>
    <t>SURENDRA SHUKLA</t>
  </si>
  <si>
    <t>BRAJ LAL</t>
  </si>
  <si>
    <t>HUKUM CHAND</t>
  </si>
  <si>
    <t>IBRAHIM ALI</t>
  </si>
  <si>
    <t>ISHIKA GAUTAM</t>
  </si>
  <si>
    <t>UMASHANKAR</t>
  </si>
  <si>
    <t>VIKASH KUMAR</t>
  </si>
  <si>
    <t>SURJEET SINGH</t>
  </si>
  <si>
    <t>PRAKASH MAURYA</t>
  </si>
  <si>
    <t>REETESH VERMA</t>
  </si>
  <si>
    <t>MANOJ SINGH</t>
  </si>
  <si>
    <t>VIPANESH KUMAR</t>
  </si>
  <si>
    <t>SHATROHAN LAL</t>
  </si>
  <si>
    <t>AKSHDEEP SINGH</t>
  </si>
  <si>
    <t>YADUNATH SINGH</t>
  </si>
  <si>
    <t>MAHAMMAD MAULANA KAUSAR</t>
  </si>
  <si>
    <t xml:space="preserve">UMESH </t>
  </si>
  <si>
    <t>JAY PRKASH</t>
  </si>
  <si>
    <t>ADESH GUPTA</t>
  </si>
  <si>
    <t>SHIV OM SHUKLA</t>
  </si>
  <si>
    <t>POOJA DEVI</t>
  </si>
  <si>
    <t>RAJKISHOR</t>
  </si>
  <si>
    <t>RANJNA GAUTAM</t>
  </si>
  <si>
    <t>CHAMRU</t>
  </si>
  <si>
    <t>AYUSHI SINGH</t>
  </si>
  <si>
    <t>NIDHI PAL</t>
  </si>
  <si>
    <t>UMESH BAJPAI</t>
  </si>
  <si>
    <t>PALAK VERMA</t>
  </si>
  <si>
    <t>DARA SINGH</t>
  </si>
  <si>
    <t>ABHAY PRATAP SINGH</t>
  </si>
  <si>
    <t>DILEEP KUMAR</t>
  </si>
  <si>
    <t>ANUJ KUAMR</t>
  </si>
  <si>
    <t>ATUL KUMAR VERMA</t>
  </si>
  <si>
    <t>NITIN KUMAR VERMA</t>
  </si>
  <si>
    <t>GURPREET SINGH</t>
  </si>
  <si>
    <t xml:space="preserve">ALOK SRIVASTAVA </t>
  </si>
  <si>
    <t>BHAVI YADAV</t>
  </si>
  <si>
    <t>SANTOSH KUMAR SHUKLA</t>
  </si>
  <si>
    <t>PALAK JAISWAL</t>
  </si>
  <si>
    <t>MAHENDRA KUMAR AWASTHI</t>
  </si>
  <si>
    <t>ANKITA GUPTA</t>
  </si>
  <si>
    <t>NAUSHAD</t>
  </si>
  <si>
    <t>NAMITA VERMA</t>
  </si>
  <si>
    <t>SANDHYA VERMA</t>
  </si>
  <si>
    <t>ANIL KUMAR</t>
  </si>
  <si>
    <t>PRASHANT</t>
  </si>
  <si>
    <t>RAKESH RASTOGI</t>
  </si>
  <si>
    <t>SATISH CHANDRA SAXENA</t>
  </si>
  <si>
    <t>SAVITA DEVI AWASTHI</t>
  </si>
  <si>
    <t>KALAMUDDEEN</t>
  </si>
  <si>
    <t xml:space="preserve">MOHD AYAZ ANSARI </t>
  </si>
  <si>
    <t>SANTOSH KUMAR GUTPA</t>
  </si>
  <si>
    <t>RAHUL KUMAR</t>
  </si>
  <si>
    <t>RAM LOTAN KASHYAP</t>
  </si>
  <si>
    <t>SUMAN</t>
  </si>
  <si>
    <t>GURU SHARAN</t>
  </si>
  <si>
    <t>VARISH ALI</t>
  </si>
  <si>
    <t>SAKSHI GUPTA</t>
  </si>
  <si>
    <t>VIRAT GUPTA</t>
  </si>
  <si>
    <t>SANJAY TIWARI</t>
  </si>
  <si>
    <t>AMAN BHASKAR</t>
  </si>
  <si>
    <t>RIYAZUDDIN ANSARI</t>
  </si>
  <si>
    <t xml:space="preserve">ANSH BARANWAL </t>
  </si>
  <si>
    <t>RAM LAXMI RANA</t>
  </si>
  <si>
    <t>AVANISH KUMAR</t>
  </si>
  <si>
    <t>DEEPU</t>
  </si>
  <si>
    <t>DEEPAK SHUKLA</t>
  </si>
  <si>
    <t>SAURABH SHUKLA</t>
  </si>
  <si>
    <t>SONAM</t>
  </si>
  <si>
    <t>KANHAIYA LAL BAJPAI</t>
  </si>
  <si>
    <t>ASHWANI KUMAR MOURYA</t>
  </si>
  <si>
    <t>GYENENDRA KUMAR</t>
  </si>
  <si>
    <t>PRIYANKA</t>
  </si>
  <si>
    <t>NEERAJ KUMAR GUPTA</t>
  </si>
  <si>
    <t>SAUMYA SHUKLA</t>
  </si>
  <si>
    <t>DEBENDRA NATH SWAIN</t>
  </si>
  <si>
    <t>CHAND BABU</t>
  </si>
  <si>
    <t>RAJ KUMAR</t>
  </si>
  <si>
    <t>KAJOLI DEVI</t>
  </si>
  <si>
    <t xml:space="preserve">GYANENDRA KUMAR SHUKLA </t>
  </si>
  <si>
    <t>MANSHI DEVI</t>
  </si>
  <si>
    <t>SANDEEP SINGH</t>
  </si>
  <si>
    <t>AFTAB AHMAD</t>
  </si>
  <si>
    <t>MANOJ KUMAR AWASTHI</t>
  </si>
  <si>
    <t>VIPIN SINGH BHARGAV</t>
  </si>
  <si>
    <t>TAULERAM</t>
  </si>
  <si>
    <t>VISHWA PRATAP SINGH</t>
  </si>
  <si>
    <t>CHUNNU</t>
  </si>
  <si>
    <t>SATISH KUMAR</t>
  </si>
  <si>
    <t>NATEESH</t>
  </si>
  <si>
    <t>SAURABH KUMAR</t>
  </si>
  <si>
    <t>VIJAY KUMAR SHARMA</t>
  </si>
  <si>
    <t>DIVYANSHI</t>
  </si>
  <si>
    <t xml:space="preserve">KIRAN </t>
  </si>
  <si>
    <t>VINOD KUAMR</t>
  </si>
  <si>
    <t xml:space="preserve">SHIVA TRIVEDI </t>
  </si>
  <si>
    <t>PAPPU GUPTA</t>
  </si>
  <si>
    <t xml:space="preserve">ANITA </t>
  </si>
  <si>
    <t xml:space="preserve">KAJAL </t>
  </si>
  <si>
    <t>MOHD IRFAN</t>
  </si>
  <si>
    <t>RISHAB SRIVASTAV</t>
  </si>
  <si>
    <t>HARSHIT KUMAR</t>
  </si>
  <si>
    <t>JAY SHANKAR PRASAD</t>
  </si>
  <si>
    <t>KULDEEP KUMAR VERMA</t>
  </si>
  <si>
    <t>RAM KISHORE</t>
  </si>
  <si>
    <t>SHUBHAM KUMAR VERMA</t>
  </si>
  <si>
    <t>MUNNA LAL RATHORE</t>
  </si>
  <si>
    <t>JITENDRA YADAV</t>
  </si>
  <si>
    <t>UMA SHANKAR GAUTAM</t>
  </si>
  <si>
    <t>NAVNEET KUMAR</t>
  </si>
  <si>
    <t>SHIVKESH VISHWKARMA</t>
  </si>
  <si>
    <t>SOBARAN LAL</t>
  </si>
  <si>
    <t>AKSHAT PANDEY</t>
  </si>
  <si>
    <t>AZAD ALI</t>
  </si>
  <si>
    <t>HARSHIT KUMAR MISHRA</t>
  </si>
  <si>
    <t>VINAY KUMAR</t>
  </si>
  <si>
    <t>RAHEESH AHMAD</t>
  </si>
  <si>
    <t>AJITESH VERMA</t>
  </si>
  <si>
    <t>ANIKET VERMA</t>
  </si>
  <si>
    <t>PUTAN</t>
  </si>
  <si>
    <t>AWANISH KUMAR</t>
  </si>
  <si>
    <t>TRILOKI PRASAD</t>
  </si>
  <si>
    <t>RAJAT GUPTA</t>
  </si>
  <si>
    <t>RAM PRASAD</t>
  </si>
  <si>
    <t>NAVEEN KUMAR</t>
  </si>
  <si>
    <t>LAL BAHADUR</t>
  </si>
  <si>
    <t>AVIRAL MISHRA</t>
  </si>
  <si>
    <t>ANIL PATEL</t>
  </si>
  <si>
    <t>NITYA VERMA</t>
  </si>
  <si>
    <t>VINOD SAXENA</t>
  </si>
  <si>
    <t>ABHISHEK GUPTA</t>
  </si>
  <si>
    <t>RAHMAT ALI</t>
  </si>
  <si>
    <t>ARISHA HASAN</t>
  </si>
  <si>
    <t>SUSHIL KUMAR GUPTA</t>
  </si>
  <si>
    <t>VIKAS KUMAR</t>
  </si>
  <si>
    <t>AMIT KUMAR</t>
  </si>
  <si>
    <t>ZAIB SINGH</t>
  </si>
  <si>
    <t>SHIVSHANT KUMAR</t>
  </si>
  <si>
    <t>RADHEY SHYAM</t>
  </si>
  <si>
    <t>YOGESH KUMAR</t>
  </si>
  <si>
    <t>ANIRUDH</t>
  </si>
  <si>
    <t>ANURAG RATN</t>
  </si>
  <si>
    <t>BAIJNATH</t>
  </si>
  <si>
    <t>KRISHNA RAJ BHARGAVA</t>
  </si>
  <si>
    <t>SUSHEEL KUMAR GUPTA</t>
  </si>
  <si>
    <t>NISHANT SINGH</t>
  </si>
  <si>
    <t>SHIVPUJAN VERMA</t>
  </si>
  <si>
    <t>ISHANT PATEL</t>
  </si>
  <si>
    <t>ACHCHHE LAL</t>
  </si>
  <si>
    <t>ISHU MISHRA</t>
  </si>
  <si>
    <t>AKHILESH KUMAR</t>
  </si>
  <si>
    <t>SURAJ SHUKLA</t>
  </si>
  <si>
    <t>MANTASHA</t>
  </si>
  <si>
    <t>MAHEEN BABU SHUKLA</t>
  </si>
  <si>
    <t>NAINCY RAJPOOT</t>
  </si>
  <si>
    <t>KALLU RAM</t>
  </si>
  <si>
    <t>PARUL RAJPUT</t>
  </si>
  <si>
    <t>ROOP NARAYAN</t>
  </si>
  <si>
    <t>MAMATA</t>
  </si>
  <si>
    <t>SOMPRAKASH</t>
  </si>
  <si>
    <t>PUSHPAK CHANDRA</t>
  </si>
  <si>
    <t>RAMESH</t>
  </si>
  <si>
    <t>SAVITA</t>
  </si>
  <si>
    <t>MAHESHWAR DUBEY</t>
  </si>
  <si>
    <t>DIVYA GAUTAM</t>
  </si>
  <si>
    <t>KAMLESH GUPTA</t>
  </si>
  <si>
    <t>PARUL MAURYA</t>
  </si>
  <si>
    <t>SNEHA SHUKLA</t>
  </si>
  <si>
    <t>JAGATPAL GOPE</t>
  </si>
  <si>
    <t>SHIVAM GUPTA</t>
  </si>
  <si>
    <t>TIRATH SINGH</t>
  </si>
  <si>
    <t>SHIVANSH KUMAR</t>
  </si>
  <si>
    <t>JASPAL SINGH</t>
  </si>
  <si>
    <t>SHREYA TIWARI</t>
  </si>
  <si>
    <t>AJAYPAL SINGH</t>
  </si>
  <si>
    <t>KM NIRJALA SINGH</t>
  </si>
  <si>
    <t>DEVENDRA SINGH YADAV</t>
  </si>
  <si>
    <t>SADHNA RASTOGI</t>
  </si>
  <si>
    <t>MANISH KUMAR KATIYAR</t>
  </si>
  <si>
    <t>RAM PRAKASH VERMA</t>
  </si>
  <si>
    <t>PRATEEK SHUKLA</t>
  </si>
  <si>
    <t>MOHD UMAR</t>
  </si>
  <si>
    <t>ANURAG BHARGAV</t>
  </si>
  <si>
    <t>RAM LAL CHAKRAWARTI</t>
  </si>
  <si>
    <t>AZHAN KHAN</t>
  </si>
  <si>
    <t>KRISHN KUMAR</t>
  </si>
  <si>
    <t>SUDHEER KUMAR VERMA</t>
  </si>
  <si>
    <t>MAHENDRA KUMAR LAHARI</t>
  </si>
  <si>
    <t>HARISH KUMAR</t>
  </si>
  <si>
    <t>KESHAV RAM MAURYA</t>
  </si>
  <si>
    <t>ISHU MAURYA</t>
  </si>
  <si>
    <t>JAGDEESH PRASAD</t>
  </si>
  <si>
    <t>NEHA TIWARI</t>
  </si>
  <si>
    <t>LAKSHMI DEVI</t>
  </si>
  <si>
    <t>UMA SHANKAR MOURYA</t>
  </si>
  <si>
    <t>SHABNAM</t>
  </si>
  <si>
    <t>FEKAN SINGH</t>
  </si>
  <si>
    <t>SUNIL KUMAR</t>
  </si>
  <si>
    <t>HARI SHANKAR</t>
  </si>
  <si>
    <t>KAUSHLENDRA</t>
  </si>
  <si>
    <t>SHUBHAM MISHRA</t>
  </si>
  <si>
    <t>ANAND KUMAR MISHRA</t>
  </si>
  <si>
    <t>ASHISH VERMA</t>
  </si>
  <si>
    <t>POOJA GUPTA</t>
  </si>
  <si>
    <t>RAJENDRA SINGH TOMAR</t>
  </si>
  <si>
    <t>UDAY PRATAP</t>
  </si>
  <si>
    <t>CHHEDI LAL</t>
  </si>
  <si>
    <t>GAYTRI NEGI</t>
  </si>
  <si>
    <t>DHIRENDRA KUMAR</t>
  </si>
  <si>
    <t>SARITA DEVI</t>
  </si>
  <si>
    <t>RAMJAN</t>
  </si>
  <si>
    <t>SHUBHAM VISHWKARMA</t>
  </si>
  <si>
    <t>SUNIL KUMAR SHARMA</t>
  </si>
  <si>
    <t>ANURAG KUMAR</t>
  </si>
  <si>
    <t>SATYENDRA YADAV</t>
  </si>
  <si>
    <t>ARPIT KUMAR</t>
  </si>
  <si>
    <t>RAM HARISH</t>
  </si>
  <si>
    <t>ARPIT RAJ</t>
  </si>
  <si>
    <t>BRAJ KISHOR</t>
  </si>
  <si>
    <t>AMALESH MISHRA</t>
  </si>
  <si>
    <t>KANHYA MISHRA</t>
  </si>
  <si>
    <t xml:space="preserve">HOLI </t>
  </si>
  <si>
    <t>PRASHANT KUMAR DIXIT</t>
  </si>
  <si>
    <t>SACHIN AWASTHI</t>
  </si>
  <si>
    <t>VIPIN KUMAR</t>
  </si>
  <si>
    <t>VISHAL MISHRA</t>
  </si>
  <si>
    <t>AJMAT ALI</t>
  </si>
  <si>
    <t>DESHRAJ PAL</t>
  </si>
  <si>
    <t>MANOJ AWASTHI</t>
  </si>
  <si>
    <t>GAURAV SINGH</t>
  </si>
  <si>
    <t>SABIR ALI</t>
  </si>
  <si>
    <t>NETRAM</t>
  </si>
  <si>
    <t>DHARMENDRA SHUKLA</t>
  </si>
  <si>
    <t>SHOBHIT KUMAR</t>
  </si>
  <si>
    <t>DALVEER SINGH</t>
  </si>
  <si>
    <t>RAJENDRA KUMAR SAINI</t>
  </si>
  <si>
    <t>UPENDER YADAV</t>
  </si>
  <si>
    <t>VED PRAKASH</t>
  </si>
  <si>
    <t>ANUSHREE</t>
  </si>
  <si>
    <t>KAPATAN BABU MISHRA</t>
  </si>
  <si>
    <t>LEKHANK KUMAR</t>
  </si>
  <si>
    <t>SALIK RAM</t>
  </si>
  <si>
    <t>MONEESH</t>
  </si>
  <si>
    <t>NAWAB ALI</t>
  </si>
  <si>
    <t>YOONISH ALI</t>
  </si>
  <si>
    <t>RAJESH RAJ</t>
  </si>
  <si>
    <t>SHUBHAM</t>
  </si>
  <si>
    <t>BIMAL MANDAL</t>
  </si>
  <si>
    <t>SHUBHRANSHU KUMAR</t>
  </si>
  <si>
    <t>BISHESHWAR AHIR</t>
  </si>
  <si>
    <t>SOMENDRA KUMAR</t>
  </si>
  <si>
    <t>VIRENDRA KUMAR</t>
  </si>
  <si>
    <t>GANESH SAHANI</t>
  </si>
  <si>
    <t>AKHILESH YADAV</t>
  </si>
  <si>
    <t>ANSH SRIVASTAVA</t>
  </si>
  <si>
    <t>RAM KUMAR SRIVASTAVA</t>
  </si>
  <si>
    <t>ASHUTOSH KUMAR</t>
  </si>
  <si>
    <t>PANKAJ SHUKLA</t>
  </si>
  <si>
    <t>KAIF ANSARI</t>
  </si>
  <si>
    <t>JAYPAL MAURYA</t>
  </si>
  <si>
    <t>LALITA DEVI</t>
  </si>
  <si>
    <t>RAMVILAS</t>
  </si>
  <si>
    <t>MOHD ARMAN</t>
  </si>
  <si>
    <t>BASANT</t>
  </si>
  <si>
    <t>NIKHIL VERMA</t>
  </si>
  <si>
    <t>RAM KISHOR</t>
  </si>
  <si>
    <t>SAMEER AHMAD</t>
  </si>
  <si>
    <t>SANIYA BANO</t>
  </si>
  <si>
    <t>NADEEM AKHTAR KHAN</t>
  </si>
  <si>
    <t>ARCHANA GUPTA</t>
  </si>
  <si>
    <t>LAVKUSH RASTOGI</t>
  </si>
  <si>
    <t>ARVIND KUMAR</t>
  </si>
  <si>
    <t>SUNIL KUMAR VERMA</t>
  </si>
  <si>
    <t>VIKAS AGARWAL</t>
  </si>
  <si>
    <t>GAGAN SINGH</t>
  </si>
  <si>
    <t>BRIJENDRA SHANKAR AWASTHI</t>
  </si>
  <si>
    <t>KOMAL SINGH</t>
  </si>
  <si>
    <t xml:space="preserve">AMARJEET </t>
  </si>
  <si>
    <t>POOJA KASHYAP</t>
  </si>
  <si>
    <t>RAMESH CHANDRA</t>
  </si>
  <si>
    <t>KRISHNA SHUKLA</t>
  </si>
  <si>
    <t>RAM MURTI GUPTA</t>
  </si>
  <si>
    <t>MANI PRAKASH DIXIT</t>
  </si>
  <si>
    <t>PRAMOD KUMAR</t>
  </si>
  <si>
    <t>SATY NARAYAN</t>
  </si>
  <si>
    <t>NISHANT SHUKLA</t>
  </si>
  <si>
    <t>SURENDRA KUMAR VERMA</t>
  </si>
  <si>
    <t>SHALU VERMA</t>
  </si>
  <si>
    <t>NAGENDRA PAL</t>
  </si>
  <si>
    <t>SHITESH BAJPAI</t>
  </si>
  <si>
    <t>ARVIND GIRI</t>
  </si>
  <si>
    <t>AMAN MISHRA</t>
  </si>
  <si>
    <t>MANSI RASTOGI</t>
  </si>
  <si>
    <t>SANJAY RAJ BHARGAVA</t>
  </si>
  <si>
    <t>SANJEET KUMAR YADAV</t>
  </si>
  <si>
    <t>ARTI MISHRA</t>
  </si>
  <si>
    <t>BABURAM</t>
  </si>
  <si>
    <t>MOHD REHAN</t>
  </si>
  <si>
    <t>NARENDRA MISHRA</t>
  </si>
  <si>
    <t>SHUBHAM TIWARI</t>
  </si>
  <si>
    <t>ALBERT SILVEIRA</t>
  </si>
  <si>
    <t>MANJU VERMA</t>
  </si>
  <si>
    <t>DINESH KUMAR GUPTA</t>
  </si>
  <si>
    <t>PINTU SINGH</t>
  </si>
  <si>
    <t>AATM PRAKASH MAURYA</t>
  </si>
  <si>
    <t>RAMMURTI SINGH</t>
  </si>
  <si>
    <t>LAVEDEEP SINGH</t>
  </si>
  <si>
    <t>PRAKASH</t>
  </si>
  <si>
    <t>RAJENDRA SINGH</t>
  </si>
  <si>
    <t>MAHAK SAXENA</t>
  </si>
  <si>
    <t>JAYRAM</t>
  </si>
  <si>
    <t>PRIYA KATIYAR</t>
  </si>
  <si>
    <t>SHIVA VERMA</t>
  </si>
  <si>
    <t>Cancel</t>
  </si>
  <si>
    <t>ABHINAV VERMA</t>
  </si>
  <si>
    <t>BUDHAI</t>
  </si>
  <si>
    <t>DEEPAK KUMAR VERMA</t>
  </si>
  <si>
    <t>AFJAL</t>
  </si>
  <si>
    <t>SAJAL DIXIT</t>
  </si>
  <si>
    <t>ABHINAY MISHRA</t>
  </si>
  <si>
    <t>VIJAY PAL SINGH</t>
  </si>
  <si>
    <t>KRISNA GUPTA</t>
  </si>
  <si>
    <t>SAURABH KUMAR AWASTHI</t>
  </si>
  <si>
    <t>PREM NARAYAN RAJ</t>
  </si>
  <si>
    <t>AKASH</t>
  </si>
  <si>
    <t>ANAND MOHAN</t>
  </si>
  <si>
    <t>HARISH GUPTA</t>
  </si>
  <si>
    <t>RAJENDRA PRASHAD</t>
  </si>
  <si>
    <t>AMAN VERMA</t>
  </si>
  <si>
    <t>RAMKAILASH</t>
  </si>
  <si>
    <t>MOHD OVESH</t>
  </si>
  <si>
    <t>AKHILESH KUMAR DIXIT</t>
  </si>
  <si>
    <t>YUVRAJ BHARGAV</t>
  </si>
  <si>
    <t>AVDESH KUMAR</t>
  </si>
  <si>
    <t>AVDHESH KUMAR</t>
  </si>
  <si>
    <t>AYAN KHAN</t>
  </si>
  <si>
    <t>MOHAMMAD RASHEED</t>
  </si>
  <si>
    <t>RAM NIVAS</t>
  </si>
  <si>
    <t>RAM KUMAR AWASTHI</t>
  </si>
  <si>
    <t>ANKESH KUMAR</t>
  </si>
  <si>
    <t>ANUJ KUMAR</t>
  </si>
  <si>
    <t>NAND RAM TYAGI</t>
  </si>
  <si>
    <t>NEHA KUMARI</t>
  </si>
  <si>
    <t>RAM NARESH YADAV</t>
  </si>
  <si>
    <t>REENA</t>
  </si>
  <si>
    <t>BAHORI LAL</t>
  </si>
  <si>
    <t>SHAINKY</t>
  </si>
  <si>
    <t>VIBHOOTI SINGH</t>
  </si>
  <si>
    <t>VIJAY BAHADUR SINGH CHAUHAN</t>
  </si>
  <si>
    <t>AKSHAT SINGH TOMAR</t>
  </si>
  <si>
    <t>RAJVEER KASHYAP</t>
  </si>
  <si>
    <t>SUSHIL RASTOGI</t>
  </si>
  <si>
    <t>SANJEEV KUMAR VERMA</t>
  </si>
  <si>
    <t>ALTAF</t>
  </si>
  <si>
    <t>KAJAL DEVI</t>
  </si>
  <si>
    <t xml:space="preserve">VASIM AHMAD </t>
  </si>
  <si>
    <t>SHIVANI  DEVI</t>
  </si>
  <si>
    <t>MD RIZWAN</t>
  </si>
  <si>
    <t>ADARSH VERMA</t>
  </si>
  <si>
    <t>SUMIT SHUKLA</t>
  </si>
  <si>
    <t>VIPIN SHUKLA</t>
  </si>
  <si>
    <t>ARMAN</t>
  </si>
  <si>
    <t>PREM PRAKASH SHARMA</t>
  </si>
  <si>
    <t>DHEERU</t>
  </si>
  <si>
    <t>DINESH GAUTAM</t>
  </si>
  <si>
    <t>TEJPAL</t>
  </si>
  <si>
    <t>IQRA UMAR</t>
  </si>
  <si>
    <t>RADHE SHYAM</t>
  </si>
  <si>
    <t>MOHD SHAHANVAJ</t>
  </si>
  <si>
    <t>ANAND KUMAR KASHYAP</t>
  </si>
  <si>
    <t>RANJEET KUMAR</t>
  </si>
  <si>
    <t>AVADHESH KUMAR PANDEY</t>
  </si>
  <si>
    <t>ANKIT</t>
  </si>
  <si>
    <t>PRATEEK VERMA</t>
  </si>
  <si>
    <t>SHRADDHA VERMA</t>
  </si>
  <si>
    <t>RAJENDER PRASAD YADAV</t>
  </si>
  <si>
    <t>AYUSH GUPTA</t>
  </si>
  <si>
    <t>DATA RAM</t>
  </si>
  <si>
    <t>LABH SINGH</t>
  </si>
  <si>
    <t>AMRISH SHUKLA</t>
  </si>
  <si>
    <t>LAKSHMI GAUTAM</t>
  </si>
  <si>
    <t>MAHIMA SINGH</t>
  </si>
  <si>
    <t>SURESH NATH SRIVASTAV</t>
  </si>
  <si>
    <t>SUSHANT VERMA</t>
  </si>
  <si>
    <t>SHIV KUMAR TIWARI</t>
  </si>
  <si>
    <t>ALOK KASHYAP</t>
  </si>
  <si>
    <t>PURUSHOTTAM</t>
  </si>
  <si>
    <t>RAKESH SINGH</t>
  </si>
  <si>
    <t>RANJANA DEVI</t>
  </si>
  <si>
    <t>DEVENDRA KUMAR AWASTHI</t>
  </si>
  <si>
    <t>KARAN VERMA</t>
  </si>
  <si>
    <t>AWADHESH KUMAR</t>
  </si>
  <si>
    <t>PRASHANT VERMA</t>
  </si>
  <si>
    <t>MOHD SAMIM</t>
  </si>
  <si>
    <t>SANDEEP KUMAR VERMA</t>
  </si>
  <si>
    <t>RAM KUMAR</t>
  </si>
  <si>
    <t>ANKUSH KASHYAP</t>
  </si>
  <si>
    <t>ASHAFAQ ALI</t>
  </si>
  <si>
    <t>ARCHIT ARYA</t>
  </si>
  <si>
    <t>RAMAKANT TRIVEDI</t>
  </si>
  <si>
    <t>SHADAB</t>
  </si>
  <si>
    <t>ANURAG VERMA</t>
  </si>
  <si>
    <t>SHAMBHU NATH</t>
  </si>
  <si>
    <t>KARAN RAJ</t>
  </si>
  <si>
    <t>VINOD KUMAR VERMA</t>
  </si>
  <si>
    <t>MANSI SONI</t>
  </si>
  <si>
    <t>AKHILESH KUMAR VERMA</t>
  </si>
  <si>
    <t>ABHIJEET SHUKLA</t>
  </si>
  <si>
    <t>JABBAR KHAN</t>
  </si>
  <si>
    <t>PIYUSH</t>
  </si>
  <si>
    <t>BALBHARDA SINGH</t>
  </si>
  <si>
    <t>SAKSHAM</t>
  </si>
  <si>
    <t>HARSHIT VERMA</t>
  </si>
  <si>
    <t>GYAN</t>
  </si>
  <si>
    <t>KAUSHAL</t>
  </si>
  <si>
    <t xml:space="preserve">SHIV PUJAN </t>
  </si>
  <si>
    <t>VIMAL RASTOGI</t>
  </si>
  <si>
    <t>DAUD ALI</t>
  </si>
  <si>
    <t>KAMAL KISHOR</t>
  </si>
  <si>
    <t>VINEET GUPTA</t>
  </si>
  <si>
    <t>VISHAL AWASTHI</t>
  </si>
  <si>
    <t>MOHD ASIF</t>
  </si>
  <si>
    <t>RUSTAM HUSAIN</t>
  </si>
  <si>
    <t>SHRADHA DEVI</t>
  </si>
  <si>
    <t>AKSHAY KANAUJIYA</t>
  </si>
  <si>
    <t>GAYATREE DEVI</t>
  </si>
  <si>
    <t>DESHRAJ</t>
  </si>
  <si>
    <t>SHIVAM AWASTHI</t>
  </si>
  <si>
    <t>AVIKA GUPTA</t>
  </si>
  <si>
    <t>SANTOSH KUMAR</t>
  </si>
  <si>
    <t>BABUNA KUSHWAHA</t>
  </si>
  <si>
    <t>ANUBHAV PANDEY</t>
  </si>
  <si>
    <t>ANUP KUMAR SHARMA</t>
  </si>
  <si>
    <t>SHYAM NARAYAN</t>
  </si>
  <si>
    <t>SONALI SINGH</t>
  </si>
  <si>
    <t>RAGHUNATH SINGH</t>
  </si>
  <si>
    <t>DEBAJANI DEBADARSINI</t>
  </si>
  <si>
    <t>CHANDAN KUMAR</t>
  </si>
  <si>
    <t>VIJAY BAHADUR</t>
  </si>
  <si>
    <t>MONU</t>
  </si>
  <si>
    <t>DHIRAJ KUMAR</t>
  </si>
  <si>
    <t>SHABAHAT ALI</t>
  </si>
  <si>
    <t>KULDEEP DUBEY</t>
  </si>
  <si>
    <t>KHUSHI RAM</t>
  </si>
  <si>
    <t>BALWANT KUMAR</t>
  </si>
  <si>
    <t>KRISHNAPAL</t>
  </si>
  <si>
    <t>VINOD SHARMA</t>
  </si>
  <si>
    <t>SHIVAM KASHYAP</t>
  </si>
  <si>
    <t>RAJENDRA YADAV</t>
  </si>
  <si>
    <t>SHAIK ZAHUR PASHA</t>
  </si>
  <si>
    <t>SADIK</t>
  </si>
  <si>
    <t>VIJAY PRATAP YADAV</t>
  </si>
  <si>
    <t>BHALERAO SNEHAL VASANT</t>
  </si>
  <si>
    <t>MOLHEY</t>
  </si>
  <si>
    <t>SHAIKH MOHIN SADIK</t>
  </si>
  <si>
    <t>VASANT NIVRUTTI BHALERAO</t>
  </si>
  <si>
    <t>ABHISHEK PAL</t>
  </si>
  <si>
    <t>AKANKSHA KUMARI NISCHAL</t>
  </si>
  <si>
    <t>ABHISHEK GIRI</t>
  </si>
  <si>
    <t>TRIBHUVAN SINGH</t>
  </si>
  <si>
    <t>RAHUL GUPTA</t>
  </si>
  <si>
    <t>NIZAMUDDIN</t>
  </si>
  <si>
    <t>GOVIND YADAV</t>
  </si>
  <si>
    <t>PIRZADA HIDAYAT ULLAH SHAH</t>
  </si>
  <si>
    <t>KM NAINA GARG</t>
  </si>
  <si>
    <t>VINOD SINGH</t>
  </si>
  <si>
    <t>MANASH JYOTI GOWALA</t>
  </si>
  <si>
    <t xml:space="preserve">SOMESHWAR DATT </t>
  </si>
  <si>
    <t>ROHIT KUMAR</t>
  </si>
  <si>
    <t>MD NOUSHER ANSARI</t>
  </si>
  <si>
    <t>NIMISHA KUMARI</t>
  </si>
  <si>
    <t>RONIT GUPTA</t>
  </si>
  <si>
    <t>VASEEM</t>
  </si>
  <si>
    <t>AMAR CHAUDHARY</t>
  </si>
  <si>
    <t>NAND KISHOR</t>
  </si>
  <si>
    <t>KRISHNA KUMAR CHAUHAN</t>
  </si>
  <si>
    <t xml:space="preserve">RAM PRASAD </t>
  </si>
  <si>
    <t>ARUN KUMAR</t>
  </si>
  <si>
    <t>KESHAVRAM CHAURASIYA</t>
  </si>
  <si>
    <t>BIJENDER SINGH YADAV</t>
  </si>
  <si>
    <t>MAHESH KUMAR MISHRA</t>
  </si>
  <si>
    <t>SAYAN BALA</t>
  </si>
  <si>
    <t>MOHAMMAD JABIR</t>
  </si>
  <si>
    <t>AVISHAKE DEB</t>
  </si>
  <si>
    <t>NITISH YADAV</t>
  </si>
  <si>
    <t>VIRENDRA KATIYAR</t>
  </si>
  <si>
    <t>MOHD RAFIK</t>
  </si>
  <si>
    <t>MADAN KUMAR</t>
  </si>
  <si>
    <t xml:space="preserve">RAMCHANDRA </t>
  </si>
  <si>
    <t>SOUMITRA MANDAL</t>
  </si>
  <si>
    <t>ANOOP KUMAR VERMA</t>
  </si>
  <si>
    <t>MANTHAN</t>
  </si>
  <si>
    <t>ANUJ MISHRA</t>
  </si>
  <si>
    <t>SAURABH KUSHWAHA</t>
  </si>
  <si>
    <t>RAM DULARE</t>
  </si>
  <si>
    <t>VINOD KUMAR YADAV</t>
  </si>
  <si>
    <t>RAJENDRA KUMAR</t>
  </si>
  <si>
    <t>ALISSA SILVEIRA</t>
  </si>
  <si>
    <t>SURBHI AKANKSHA</t>
  </si>
  <si>
    <t>JAGDISH PRASAD</t>
  </si>
  <si>
    <t>RAJNEESH SHUKLA</t>
  </si>
  <si>
    <t>SANDHYA KUMARI</t>
  </si>
  <si>
    <t>BAHADUR</t>
  </si>
  <si>
    <t>ATANU BISWAS</t>
  </si>
  <si>
    <t>AVADH RAM</t>
  </si>
  <si>
    <t>NIKITA BAJAJ</t>
  </si>
  <si>
    <t>KAMAL KUMAR MISHRA</t>
  </si>
  <si>
    <t>SONAM KUMARI</t>
  </si>
  <si>
    <t>SURESH PAL SINGH</t>
  </si>
  <si>
    <t>JATIN SINGH</t>
  </si>
  <si>
    <t>RANJEET GIRI</t>
  </si>
  <si>
    <t>PAWANDEEP KAUR</t>
  </si>
  <si>
    <t>JOGENDRA SINGH</t>
  </si>
  <si>
    <t>AJIT KUMAR</t>
  </si>
  <si>
    <t>SAKIB SULTAN</t>
  </si>
  <si>
    <t>NEHA LAHARI</t>
  </si>
  <si>
    <t>RAJESH SINGH</t>
  </si>
  <si>
    <t>ANKIT KUMAR SINGH</t>
  </si>
  <si>
    <t>SHENDAGE SHARVARI PANDURANG</t>
  </si>
  <si>
    <t>AVINASH KUMAR</t>
  </si>
  <si>
    <t>AMIT KUMAR SONI</t>
  </si>
  <si>
    <t>ANKIT SAINI</t>
  </si>
  <si>
    <t>RITESH KUMAR</t>
  </si>
  <si>
    <t>MOBIN AHMAD</t>
  </si>
  <si>
    <t>CBT-03 MONTHS</t>
  </si>
  <si>
    <t>YOGENDRA VERMA</t>
  </si>
  <si>
    <t>MOHD AMANULLAH</t>
  </si>
  <si>
    <t>GYANCHAND YADAV</t>
  </si>
  <si>
    <t>ABHILESH KUMAR</t>
  </si>
  <si>
    <t>MOHARRAM</t>
  </si>
  <si>
    <t>DHURAV KUMAR</t>
  </si>
  <si>
    <t>ANILPRASAD SINGH</t>
  </si>
  <si>
    <t>MOHAN SWAROOP</t>
  </si>
  <si>
    <t>CHANDRA SHEKHAR VERMA</t>
  </si>
  <si>
    <t>ADITYA KUMAR</t>
  </si>
  <si>
    <t>VISHESHWAR DAYAL</t>
  </si>
  <si>
    <t>UTTAM VERMA</t>
  </si>
  <si>
    <t>SUNIL KASHYAP</t>
  </si>
  <si>
    <t>SACHIN KUMAR</t>
  </si>
  <si>
    <t>UMESH KUMAR RANA</t>
  </si>
  <si>
    <t>KANHAIYA LAL</t>
  </si>
  <si>
    <t>VIJENDRA KUMAR</t>
  </si>
  <si>
    <t>GYAN CHANDRA PANDEY</t>
  </si>
  <si>
    <t>AMEEN AHMAD</t>
  </si>
  <si>
    <t>DARBARI LAL</t>
  </si>
  <si>
    <t xml:space="preserve">KULDEEP </t>
  </si>
  <si>
    <t>BHANU PRATAP VERMA</t>
  </si>
  <si>
    <t>VIKKU</t>
  </si>
  <si>
    <t>NATTHARAM</t>
  </si>
  <si>
    <t>KRISHNANAND YADAV</t>
  </si>
  <si>
    <t>AYUB ALI</t>
  </si>
  <si>
    <t>NIRMAL SINGH</t>
  </si>
  <si>
    <t>MANGAL PRASAD TIWARI</t>
  </si>
  <si>
    <t>SONU YADAV</t>
  </si>
  <si>
    <t>RAM PRAKASH RANA</t>
  </si>
  <si>
    <t>CIVIL KATIYAR</t>
  </si>
  <si>
    <t>KAUSHAL KISHOR</t>
  </si>
  <si>
    <t>MO. SAMEER</t>
  </si>
  <si>
    <t>ATUL KUMAR GUPTA</t>
  </si>
  <si>
    <t>KAMAL KUMAR</t>
  </si>
  <si>
    <t>RAM KRAPAL</t>
  </si>
  <si>
    <t>SHAGUN AWASTHI</t>
  </si>
  <si>
    <t>SHAIK AFSARA AHMED</t>
  </si>
  <si>
    <t>SHLOK SAXENA</t>
  </si>
  <si>
    <t>LAKSHMAN CHAUHAN</t>
  </si>
  <si>
    <t>AAKASH SINGH</t>
  </si>
  <si>
    <t>NAJAKAT KHAN</t>
  </si>
  <si>
    <t>MOHD LARAIB NADEEM KHAN</t>
  </si>
  <si>
    <t>MANI RAM</t>
  </si>
  <si>
    <t>ANCHAL TIWARI</t>
  </si>
  <si>
    <t>DHRUV KUMAR</t>
  </si>
  <si>
    <t>NIRAJ SINGH</t>
  </si>
  <si>
    <t>PRADEEP KUMAR SAHANI</t>
  </si>
  <si>
    <t>MAMTA JAISWAL</t>
  </si>
  <si>
    <t>AMIT KUMAR MISHRA</t>
  </si>
  <si>
    <t>MOSAHARIYAR</t>
  </si>
  <si>
    <t>SHIVAM KUMAR RANA</t>
  </si>
  <si>
    <t>LAVKUSH</t>
  </si>
  <si>
    <t>AMREESH KUMAR</t>
  </si>
  <si>
    <t>BRIJESH VERMA</t>
  </si>
  <si>
    <t>MOHAMMAD SHAHID KHAN</t>
  </si>
  <si>
    <t>KAMTA PRASAD VERMA</t>
  </si>
  <si>
    <t>KRISHNA KUMAR VERMA</t>
  </si>
  <si>
    <t>ARPIT JAISWAL</t>
  </si>
  <si>
    <t>DINESH CHANDRA SHRIVASTAVA</t>
  </si>
  <si>
    <t>LAKHPATI RAM</t>
  </si>
  <si>
    <t>ANJALI MANDAL</t>
  </si>
  <si>
    <t>RAM PRAVESH</t>
  </si>
  <si>
    <t>JAKIR HUSAIN</t>
  </si>
  <si>
    <t>NEERAJ KUMAR</t>
  </si>
  <si>
    <t>NITIN SINGH</t>
  </si>
  <si>
    <t>MAHESHPAL</t>
  </si>
  <si>
    <t>SOM PRAKASH YADAV</t>
  </si>
  <si>
    <t>YOGENDER BAJAJ</t>
  </si>
  <si>
    <t>KM MOHINI DEVI</t>
  </si>
  <si>
    <t>RAM GOPAL VERMA</t>
  </si>
  <si>
    <t>KM MONIKA DEVI</t>
  </si>
  <si>
    <t xml:space="preserve">RAMU </t>
  </si>
  <si>
    <t>SHALINDRI PAL</t>
  </si>
  <si>
    <t>CHANDRABHAL</t>
  </si>
  <si>
    <t>JITIN SHUKLA</t>
  </si>
  <si>
    <t>DHEERENDRA SINGH</t>
  </si>
  <si>
    <t>SAUMYA AWASTHI</t>
  </si>
  <si>
    <t>AKHILESH</t>
  </si>
  <si>
    <t>KUMAR VISHAL SINGH</t>
  </si>
  <si>
    <t>NANDKISHOR</t>
  </si>
  <si>
    <t>SHAILENDRA SINGH</t>
  </si>
  <si>
    <t>HANUMAN PRASAD SHUKLA</t>
  </si>
  <si>
    <t>SATYENDRA KUMAR SRIVASTAVA</t>
  </si>
  <si>
    <t>ANWAR ALI</t>
  </si>
  <si>
    <t>SHRIKRISHNA</t>
  </si>
  <si>
    <t>ANSHIKA BAJPAI</t>
  </si>
  <si>
    <t>PALAK MISHRA</t>
  </si>
  <si>
    <t>DAYA SHANKAR</t>
  </si>
  <si>
    <t>PRIYANSHI MISHRA</t>
  </si>
  <si>
    <t>BHAGAUTI PRASAD</t>
  </si>
  <si>
    <t>GAJENDRA SINGH</t>
  </si>
  <si>
    <t>DINESH KUMAR SHUKLA</t>
  </si>
  <si>
    <t>MANISHA DEVI</t>
  </si>
  <si>
    <t>S.SHERNEE SINGH BAGHEL</t>
  </si>
  <si>
    <t>ANJALI VERMA</t>
  </si>
  <si>
    <t>KM NIDHI</t>
  </si>
  <si>
    <t>VISHESH KUMAR JAISWAL</t>
  </si>
  <si>
    <t>NITESH CHAURASIYA</t>
  </si>
  <si>
    <t>SHYAM SINGH</t>
  </si>
  <si>
    <t>MUSKAAN AWASTHI</t>
  </si>
  <si>
    <t>UMA SHANKAR YADAV</t>
  </si>
  <si>
    <t>SATYANSH MISHRA</t>
  </si>
  <si>
    <t>MAHENDRA KUMAR PANDEY</t>
  </si>
  <si>
    <t>ABHINAV MISHRA</t>
  </si>
  <si>
    <t>AJAY PAL SINGH</t>
  </si>
  <si>
    <t>KM SUPRIYA YADAV</t>
  </si>
  <si>
    <t>ASHISH KUMAR SHUKLA</t>
  </si>
  <si>
    <t>KM PRIYA VERMA</t>
  </si>
  <si>
    <t>NIKHIL KUMAR</t>
  </si>
  <si>
    <t>VIJAY SHUKLA</t>
  </si>
  <si>
    <t>SHUBHAM PANDEY</t>
  </si>
  <si>
    <t>ABHISHEK DIXIT</t>
  </si>
  <si>
    <t>SHAILENDRA KUMAR SHUKLA</t>
  </si>
  <si>
    <t>UTTAM KUMAR NAG</t>
  </si>
  <si>
    <t>HIMANSHU SINGH</t>
  </si>
  <si>
    <t>MO AHMAD</t>
  </si>
  <si>
    <t>ANJALY JAISWAL</t>
  </si>
  <si>
    <t>JAID ALI</t>
  </si>
  <si>
    <t>SANTOSH MISHRA</t>
  </si>
  <si>
    <t>NIDHEE</t>
  </si>
  <si>
    <t>PAIKARMADEEN VERMA</t>
  </si>
  <si>
    <t>ADITYA</t>
  </si>
  <si>
    <t>ANOOP AWASTHI</t>
  </si>
  <si>
    <t>KM SHITAL</t>
  </si>
  <si>
    <t>JALIM SINGH</t>
  </si>
  <si>
    <t>NITIN NIGAM</t>
  </si>
  <si>
    <t>OMKAR NATH MAURYA</t>
  </si>
  <si>
    <t>ADARSH MAURYA</t>
  </si>
  <si>
    <t>JAGDAMBA PRASAD</t>
  </si>
  <si>
    <t>DURGA PRASHAD</t>
  </si>
  <si>
    <t>RUPALI GUPTA</t>
  </si>
  <si>
    <t>NEETU</t>
  </si>
  <si>
    <t>RAJAN</t>
  </si>
  <si>
    <t>SHALINI MITRA</t>
  </si>
  <si>
    <t>MANOJ UPADHYAY</t>
  </si>
  <si>
    <t>RAMOO SINGH</t>
  </si>
  <si>
    <t>BECHELAL</t>
  </si>
  <si>
    <t>KM ANKITA SHARMA</t>
  </si>
  <si>
    <t>PRABHU PRATAP SINGH</t>
  </si>
  <si>
    <t>RAMJI MISHRA</t>
  </si>
  <si>
    <t>RAJARAM</t>
  </si>
  <si>
    <t>MOHD NAEEM</t>
  </si>
  <si>
    <t>SURAJ KUMAR SHUKLA</t>
  </si>
  <si>
    <t>NANDLAL</t>
  </si>
  <si>
    <t>KANCHAN</t>
  </si>
  <si>
    <t>SUMIRAJ SINGH</t>
  </si>
  <si>
    <t>ROSHANI</t>
  </si>
  <si>
    <t>BADSHAH YADAV</t>
  </si>
  <si>
    <t>PIRZADA MOHAMMAD SHAFI SHAH</t>
  </si>
  <si>
    <t>DEEP BABU MISHRA</t>
  </si>
  <si>
    <t>AWADHESH KUMAR VERMA</t>
  </si>
  <si>
    <t>SHARVAN MAURYA</t>
  </si>
  <si>
    <t>SARDA PRASAD</t>
  </si>
  <si>
    <t>YUVRAJ SINGH YADAV</t>
  </si>
  <si>
    <t>GAURAV KUMAR</t>
  </si>
  <si>
    <t>SHAKEEL KHAN</t>
  </si>
  <si>
    <t>HARSH RASTOGI</t>
  </si>
  <si>
    <t>RAMU GUPTA</t>
  </si>
  <si>
    <t>BHOOMI TRIVEDI</t>
  </si>
  <si>
    <t>MITHILESH KUMAR GUPTA</t>
  </si>
  <si>
    <t>LOVELY GUPTA</t>
  </si>
  <si>
    <t>JAIPRAKSH TRIVEDI</t>
  </si>
  <si>
    <t>SHADAMAN</t>
  </si>
  <si>
    <t>MAQSOOD ALI</t>
  </si>
  <si>
    <t>SHIVANGI SHARMA</t>
  </si>
  <si>
    <t>HARI OM MISHRA</t>
  </si>
  <si>
    <t>FIZA BANO</t>
  </si>
  <si>
    <t>SHRI RAM NAG</t>
  </si>
  <si>
    <t>SHUBHI AWASTHI</t>
  </si>
  <si>
    <t>RAMESH JHA</t>
  </si>
  <si>
    <t>ANSHIKA DIXIT</t>
  </si>
  <si>
    <t>PAWAN SINGH</t>
  </si>
  <si>
    <t>MEENA DEVI</t>
  </si>
  <si>
    <t>AMIR HASAN</t>
  </si>
  <si>
    <t>RUCHI BHARTI</t>
  </si>
  <si>
    <t>RAM MUNEESH</t>
  </si>
  <si>
    <t>ABHISHEK GAUTAM</t>
  </si>
  <si>
    <t>SANNU LAL SONI</t>
  </si>
  <si>
    <t>FARIHA KHATOON</t>
  </si>
  <si>
    <t>JAY SHANKAR MISHRA</t>
  </si>
  <si>
    <t>SHAHINA</t>
  </si>
  <si>
    <t>ANAMIKA SINGH</t>
  </si>
  <si>
    <t>MOHD. SAIF</t>
  </si>
  <si>
    <t>ROSHANI RAJ</t>
  </si>
  <si>
    <t>MO. FAIJAN</t>
  </si>
  <si>
    <t>MOHAMMAD MONISH KHAN</t>
  </si>
  <si>
    <t>BRAJESH RASTOGI</t>
  </si>
  <si>
    <t>VANSHIKA AGARWAL</t>
  </si>
  <si>
    <t>KISHAN GUPTA</t>
  </si>
  <si>
    <t xml:space="preserve">VINOD KUMAR </t>
  </si>
  <si>
    <t>SUMIT CHAURASIA</t>
  </si>
  <si>
    <t>VIVEK</t>
  </si>
  <si>
    <t>SAMIULLA CHAUDHARI</t>
  </si>
  <si>
    <t>PRARABDH SINGH</t>
  </si>
  <si>
    <t>MOH AZAD</t>
  </si>
  <si>
    <t>SHIVAM RAJ</t>
  </si>
  <si>
    <t>TANU RAM GOWALA</t>
  </si>
  <si>
    <t>ANIMESH DEB</t>
  </si>
  <si>
    <t>SULABH</t>
  </si>
  <si>
    <t>KRISHNA BAHADUR SINGH</t>
  </si>
  <si>
    <t>RAVINDRA</t>
  </si>
  <si>
    <t>JHARIKHE LAL</t>
  </si>
  <si>
    <t>SUBHAM GAUTAM</t>
  </si>
  <si>
    <t>MITHILESH KUMAR</t>
  </si>
  <si>
    <t>RIBAI PRASAD</t>
  </si>
  <si>
    <t>BRAHM SINGH</t>
  </si>
  <si>
    <t>NIJAMAUDEEN SIDDIQI</t>
  </si>
  <si>
    <t>AYUSH KUMAR</t>
  </si>
  <si>
    <t>AUN KUMAR</t>
  </si>
  <si>
    <t>ABHISHEK UPADHYAY</t>
  </si>
  <si>
    <t>SAHAB LAL RAJAK</t>
  </si>
  <si>
    <t xml:space="preserve">MOHAMMAD KAMRAN </t>
  </si>
  <si>
    <t>SURJEET MAURYA</t>
  </si>
  <si>
    <t>PRAMOD MISHRA</t>
  </si>
  <si>
    <t>ANKUSH VERMA</t>
  </si>
  <si>
    <t>LAL JI</t>
  </si>
  <si>
    <t>SAROJ KUMAR</t>
  </si>
  <si>
    <t>AWADHRAM MISHRA</t>
  </si>
  <si>
    <t>KUTBUDEEN</t>
  </si>
  <si>
    <t>SWAMI SARAN</t>
  </si>
  <si>
    <t>SUSHIL KUMAR</t>
  </si>
  <si>
    <t>ANUREET KAUR</t>
  </si>
  <si>
    <t>MOHAN LAL</t>
  </si>
  <si>
    <t>TANUREET KAUR</t>
  </si>
  <si>
    <t>ABHISHEK KUMAR</t>
  </si>
  <si>
    <t>RAMESH CHANDRA SHUKLA</t>
  </si>
  <si>
    <t>ANIS ANSARI</t>
  </si>
  <si>
    <t>NAVDEEP SINGH</t>
  </si>
  <si>
    <t>SARVESH SRIVASTAVA</t>
  </si>
  <si>
    <t>MANGAL SINGH</t>
  </si>
  <si>
    <t>VIMLESH KUMAR</t>
  </si>
  <si>
    <t>MISAUDDIN</t>
  </si>
  <si>
    <t>MOTI LAL</t>
  </si>
  <si>
    <t>OMKAR GIRI</t>
  </si>
  <si>
    <t>SUNIL GUPTA</t>
  </si>
  <si>
    <t>ASHIM KUMAR BISWAS</t>
  </si>
  <si>
    <t>ROMAL VERMA</t>
  </si>
  <si>
    <t>DHARMENDRA KUMAR</t>
  </si>
  <si>
    <t>SUBHASH SINGH</t>
  </si>
  <si>
    <t>OMKAR</t>
  </si>
  <si>
    <t>RAM KISHAN VERMA</t>
  </si>
  <si>
    <t>SUBHASH KUMAR</t>
  </si>
  <si>
    <t>JAGANNATH YADAV</t>
  </si>
  <si>
    <t>SUNDER LAL</t>
  </si>
  <si>
    <t>RAKESH YADAV</t>
  </si>
  <si>
    <t>UMADATT</t>
  </si>
  <si>
    <t>ASHWANI KUMAR SINGH</t>
  </si>
  <si>
    <t>IKBAL HUSHAIN</t>
  </si>
  <si>
    <t>KM MADHUR SHUKLA</t>
  </si>
  <si>
    <t>MAHENDRA KUMAR VERMA</t>
  </si>
  <si>
    <t>SURAJ SINGH</t>
  </si>
  <si>
    <t>NAND KUMAR</t>
  </si>
  <si>
    <t>NAGENDRA KUMAR</t>
  </si>
  <si>
    <t>HARERAM</t>
  </si>
  <si>
    <t>MANOJ NIGAM</t>
  </si>
  <si>
    <t>HEMENDRA KUMAR SRIVASTAVA</t>
  </si>
  <si>
    <t>SANJEEV CHAURASIYA</t>
  </si>
  <si>
    <t>ADITYA SINGH</t>
  </si>
  <si>
    <t>KM BANDANA SINGH</t>
  </si>
  <si>
    <t>IKRAM ALI</t>
  </si>
  <si>
    <t>SUDHANSHU TIWARI</t>
  </si>
  <si>
    <t>AJAY SINGH</t>
  </si>
  <si>
    <t>MOHAMMAD NAFISH KHAN</t>
  </si>
  <si>
    <t>SANTOSH KUMAR RAJPOOT</t>
  </si>
  <si>
    <t>DHEERENDRA KUMAR</t>
  </si>
  <si>
    <t>HARINAM</t>
  </si>
  <si>
    <t>MITHLESH KUMAR</t>
  </si>
  <si>
    <t>JAY RAM</t>
  </si>
  <si>
    <t>SHYAM SINGH RANA</t>
  </si>
  <si>
    <t>SUBHASHINI</t>
  </si>
  <si>
    <t>VAIDIK SRIVASTAVA</t>
  </si>
  <si>
    <t>MOENUDDIN</t>
  </si>
  <si>
    <t>UMESH PRATAP SINGH</t>
  </si>
  <si>
    <t>ABHAY RAJ</t>
  </si>
  <si>
    <t>RAM JI</t>
  </si>
  <si>
    <t>ANUJ KUMAR BAJPAI</t>
  </si>
  <si>
    <t>UMA PRAKASH</t>
  </si>
  <si>
    <t>SANOJ KUMAR RAJBHAR</t>
  </si>
  <si>
    <t>IMTIYAZ</t>
  </si>
  <si>
    <t>RAMSWARUP</t>
  </si>
  <si>
    <t>JAGDISH GAUTAM</t>
  </si>
  <si>
    <t>VINOD YADAV</t>
  </si>
  <si>
    <t>SONU GUPTA</t>
  </si>
  <si>
    <t>SUSHEEL KUMAR</t>
  </si>
  <si>
    <t>SIYA NAND GIRI</t>
  </si>
  <si>
    <t>TAUSHEEB AHMAD</t>
  </si>
  <si>
    <t>SUSHIL</t>
  </si>
  <si>
    <t>RANGILAL RAJPOOT</t>
  </si>
  <si>
    <t>AVDHESH SINGH</t>
  </si>
  <si>
    <t>RAMKUMAR</t>
  </si>
  <si>
    <t>ANIL VERMA</t>
  </si>
  <si>
    <t>SHIWA KUMAR</t>
  </si>
  <si>
    <t>SALIM KHAN</t>
  </si>
  <si>
    <t>AMAN SAHNI</t>
  </si>
  <si>
    <t>HARINAND</t>
  </si>
  <si>
    <t>RAJENDRA PRASAD</t>
  </si>
  <si>
    <t>RAJAN SAHNI</t>
  </si>
  <si>
    <t>SANJAY SONI</t>
  </si>
  <si>
    <t>INDAR KUMAR</t>
  </si>
  <si>
    <t>RAM MITRA</t>
  </si>
  <si>
    <t>ROHIT JAISHAWAL</t>
  </si>
  <si>
    <t>MOHD.ADIL</t>
  </si>
  <si>
    <t>MAHTAB ALAM</t>
  </si>
  <si>
    <t>GAUTAM VISHWKARMA</t>
  </si>
  <si>
    <t>MOHAMMAD ZAKIR</t>
  </si>
  <si>
    <t>RAM LOTAN MAURYA</t>
  </si>
  <si>
    <t>SHAHANWAZ ANSARI</t>
  </si>
  <si>
    <t>KM TARANNUM</t>
  </si>
  <si>
    <t xml:space="preserve">MERAJUDDIN </t>
  </si>
  <si>
    <t>RAJAN SAHANI</t>
  </si>
  <si>
    <t>KODI LAL</t>
  </si>
  <si>
    <t>WAHI DUZZMAN</t>
  </si>
  <si>
    <t>RAM BAHADUR</t>
  </si>
  <si>
    <t>GAYADEEN SINGH BAGHEL</t>
  </si>
  <si>
    <t>SUBHASHINEE</t>
  </si>
  <si>
    <t>AMAN</t>
  </si>
  <si>
    <t>AMBUJ SHARMA</t>
  </si>
  <si>
    <t>AMRENDRA KUMAR SHUKLA</t>
  </si>
  <si>
    <t>ASHUTOSH GUPTA</t>
  </si>
  <si>
    <t>AYUSH KUMAR MISHRA</t>
  </si>
  <si>
    <t>MOHAMMAD FAHEEM KHAN</t>
  </si>
  <si>
    <t>HIMANSHU MISHRA</t>
  </si>
  <si>
    <t>HARI NARAYAN</t>
  </si>
  <si>
    <t>IRFAN ALI</t>
  </si>
  <si>
    <t>LAVAKESH</t>
  </si>
  <si>
    <t>RUSTAM</t>
  </si>
  <si>
    <t>SATYENDRA KUMAR</t>
  </si>
  <si>
    <t>DEENANATH SHARMA</t>
  </si>
  <si>
    <t>SHOBHIT VERMA</t>
  </si>
  <si>
    <t>SUMIT YADAV</t>
  </si>
  <si>
    <t>SURAJ VERMA</t>
  </si>
  <si>
    <t>UPMANYU MISHRA</t>
  </si>
  <si>
    <t>GAYA PRASAD</t>
  </si>
  <si>
    <t>KAJAL SONI</t>
  </si>
  <si>
    <t xml:space="preserve">VASIM AHMED </t>
  </si>
  <si>
    <t>UNNATI SHUKLA</t>
  </si>
  <si>
    <t>KM GULISTA BANO</t>
  </si>
  <si>
    <t>DWADSHI</t>
  </si>
  <si>
    <t>ANSH KASHYAP</t>
  </si>
  <si>
    <t>PARMESHWAR KASHYAP</t>
  </si>
  <si>
    <t>CHANDANI DEVI</t>
  </si>
  <si>
    <t>PRIYA RAJ</t>
  </si>
  <si>
    <t>SIDDHIPRAKASH</t>
  </si>
  <si>
    <t>CHANDNI KASHYAP</t>
  </si>
  <si>
    <t>RAM PRAKASH</t>
  </si>
  <si>
    <t>HARDUARI LAL</t>
  </si>
  <si>
    <t>KM ANSHIKA SRIVASTAVA</t>
  </si>
  <si>
    <t>LAXMI NARAYAN</t>
  </si>
  <si>
    <t>SAKSHI SRIVASTAVA</t>
  </si>
  <si>
    <t>SOMVATI RAJ</t>
  </si>
  <si>
    <t>SUBHI SINGH</t>
  </si>
  <si>
    <t>KRISHNA PRATAP SINGH</t>
  </si>
  <si>
    <t>KM JYOTI BHARGAVA</t>
  </si>
  <si>
    <t>SHREEKANT GUPTA</t>
  </si>
  <si>
    <t>KM SAIMA BANO</t>
  </si>
  <si>
    <t>RAVINDRA GUPTA</t>
  </si>
  <si>
    <t>SALIHA KHATOON</t>
  </si>
  <si>
    <t>KARAN KUMAR</t>
  </si>
  <si>
    <t>HARIOM SHUKLA</t>
  </si>
  <si>
    <t>NEHA DEVI</t>
  </si>
  <si>
    <t>BALWANT SINGH</t>
  </si>
  <si>
    <t>SHALINI BHARTI</t>
  </si>
  <si>
    <t>MOHD RAYYAN ANSARI</t>
  </si>
  <si>
    <t>RAM SEWAK</t>
  </si>
  <si>
    <t>SALONI</t>
  </si>
  <si>
    <t>VIPIN RAJPOOT</t>
  </si>
  <si>
    <t>ANCHAL KUMAR VERMA</t>
  </si>
  <si>
    <t>ANKUR GAUR</t>
  </si>
  <si>
    <t>RAMESH CHANDRA BHARTI</t>
  </si>
  <si>
    <t>GITESH KUMAR GAUR</t>
  </si>
  <si>
    <t>MUKESH SINGH</t>
  </si>
  <si>
    <t>SHAILENDRA KUMAR VERMA</t>
  </si>
  <si>
    <t>SAURABH MISHRA</t>
  </si>
  <si>
    <t>ANIL MISHRA</t>
  </si>
  <si>
    <t>KM AFREEN NAZ</t>
  </si>
  <si>
    <t xml:space="preserve">GAYATRI PRASAD </t>
  </si>
  <si>
    <t>MOHD SAHIL</t>
  </si>
  <si>
    <t>SHIV KISHOR</t>
  </si>
  <si>
    <t>SAMAR SRIVASTAVA</t>
  </si>
  <si>
    <t>AMIT KUMAR PANDEY</t>
  </si>
  <si>
    <t>AJEET KUMAR RAJBHAR</t>
  </si>
  <si>
    <t>NEHA</t>
  </si>
  <si>
    <t>KRISHNA GUPTA</t>
  </si>
  <si>
    <t>AKASH SHUKLA</t>
  </si>
  <si>
    <t>MOHAMMAD SALEEM</t>
  </si>
  <si>
    <t>PARIKARAMADEEN</t>
  </si>
  <si>
    <t>NASEER AHMAD</t>
  </si>
  <si>
    <t>TARUN KUMAR RAY</t>
  </si>
  <si>
    <t>MANI RAM MAURYA</t>
  </si>
  <si>
    <t>GORAKHNATH SHUKLA</t>
  </si>
  <si>
    <t>SARVESH KUMAR MISHRA</t>
  </si>
  <si>
    <t>ACCHAN</t>
  </si>
  <si>
    <t>RABBI LAL</t>
  </si>
  <si>
    <t>SATYENDRA VERMA</t>
  </si>
  <si>
    <t>RAJENDER GUPTA</t>
  </si>
  <si>
    <t>HIMANSHI YADAV</t>
  </si>
  <si>
    <t>MUKHTYAR SINGH</t>
  </si>
  <si>
    <t>JAGDISH CHAKRAWARTI</t>
  </si>
  <si>
    <t>RAM NIVASH GUPTA</t>
  </si>
  <si>
    <t>PRATIMA YADAV</t>
  </si>
  <si>
    <t>ARUN PRKASH VERMA</t>
  </si>
  <si>
    <t>UDIT KUMAR MISHRA</t>
  </si>
  <si>
    <t>SATYA PRAKASH</t>
  </si>
  <si>
    <t>BUDDHA MAURYA</t>
  </si>
  <si>
    <t>HARINDRA KUMAR</t>
  </si>
  <si>
    <t>GUL MOHAMMAD</t>
  </si>
  <si>
    <t>KAUSHLENDRA KUMAR PANDEY</t>
  </si>
  <si>
    <t>SHYAM KISHOR RAJ</t>
  </si>
  <si>
    <t>MAHESH KUMAR</t>
  </si>
  <si>
    <t>ANSHIKA SHUKLA</t>
  </si>
  <si>
    <t>SURESH CHANDRA</t>
  </si>
  <si>
    <t>JARMAN SINGH</t>
  </si>
  <si>
    <t>CHANPREET SINGH</t>
  </si>
  <si>
    <t>DESHRAJ VERMA</t>
  </si>
  <si>
    <t>LOVEPREET SINGH</t>
  </si>
  <si>
    <t>BACHHA BABU</t>
  </si>
  <si>
    <t>MANEES RATHORE</t>
  </si>
  <si>
    <t>PREMCHANDRA</t>
  </si>
  <si>
    <t>RAM SINGH</t>
  </si>
  <si>
    <t>ALKA SINGH</t>
  </si>
  <si>
    <t>RICHANSHOO JAISWAL</t>
  </si>
  <si>
    <t>ARVIND NISHAD</t>
  </si>
  <si>
    <t>ATUL NISHAD</t>
  </si>
  <si>
    <t>SUDHAKAR AWASTHI</t>
  </si>
  <si>
    <t>CHHANNOO SHUKLA</t>
  </si>
  <si>
    <t>RAMA SHANKAR VERMA</t>
  </si>
  <si>
    <t>SANJAY KUMAR KATIYAR</t>
  </si>
  <si>
    <t>SHIV KUMAR</t>
  </si>
  <si>
    <t>KM SHIKSHA DEVI</t>
  </si>
  <si>
    <t xml:space="preserve">BINDRA PRASAD </t>
  </si>
  <si>
    <t>SAURABH DIWEDI</t>
  </si>
  <si>
    <t>KM KHUSHBOO GOUTAM</t>
  </si>
  <si>
    <t>RAMASHREY PAL</t>
  </si>
  <si>
    <t>RAJNEESH KUMAR</t>
  </si>
  <si>
    <t>SHIVA</t>
  </si>
  <si>
    <t>UMA SHANKAR VERMA</t>
  </si>
  <si>
    <t>ANKIT DIWEDI</t>
  </si>
  <si>
    <t>RINKI DEVI</t>
  </si>
  <si>
    <t>HIMANSHU PATEL</t>
  </si>
  <si>
    <t>KAILASH TRIVEDI</t>
  </si>
  <si>
    <t>MADHU DEVI VISHWAKARMA</t>
  </si>
  <si>
    <t>RAMAN KUMAR</t>
  </si>
  <si>
    <t>NATHARAM</t>
  </si>
  <si>
    <t>KM KRANTI DEVI</t>
  </si>
  <si>
    <t>PANKAJ SINGH</t>
  </si>
  <si>
    <t>MOHAMMAD AHTISHAM</t>
  </si>
  <si>
    <t>SANTOSH TIWARI</t>
  </si>
  <si>
    <t>MOHAMMAD FARHAD KHAN</t>
  </si>
  <si>
    <t>HARI PAL SINGH</t>
  </si>
  <si>
    <t>MOHD AMAN</t>
  </si>
  <si>
    <t>SARFARAZ</t>
  </si>
  <si>
    <t>MOHD MERAJ</t>
  </si>
  <si>
    <t>HARISH CHANDRA SINGH</t>
  </si>
  <si>
    <t>SATEESH KUMAR</t>
  </si>
  <si>
    <t>SHARAD MISHRA</t>
  </si>
  <si>
    <t>SUNIL KUMAR NISCHAL</t>
  </si>
  <si>
    <t>ASHISH SINGH</t>
  </si>
  <si>
    <t>SHRI KESHAN</t>
  </si>
  <si>
    <t>DHEERU YADAV</t>
  </si>
  <si>
    <t>MOHD. WASEEM KHAN</t>
  </si>
  <si>
    <t>AJAY KUMAR SHUKLA</t>
  </si>
  <si>
    <t>VEERU</t>
  </si>
  <si>
    <t>KM PRIYANKA MAURYA</t>
  </si>
  <si>
    <t>KAMLESH KUMAR VERMA</t>
  </si>
  <si>
    <t>VISHRAM LAL</t>
  </si>
  <si>
    <t>SHAILESH KUMAR</t>
  </si>
  <si>
    <t>TARKEEB ALI</t>
  </si>
  <si>
    <t>RAGHVENDRA SINGH</t>
  </si>
  <si>
    <t>MANOJ KUMAR GARG</t>
  </si>
  <si>
    <t>MALKHE RAM</t>
  </si>
  <si>
    <t>MADAN LAL RANA</t>
  </si>
  <si>
    <t>MO NASIR</t>
  </si>
  <si>
    <t>Branch Code</t>
  </si>
  <si>
    <t>Jan</t>
  </si>
  <si>
    <t>LPK1</t>
  </si>
  <si>
    <t>LPK2</t>
  </si>
  <si>
    <t>LPK3</t>
  </si>
  <si>
    <t>LPK4</t>
  </si>
  <si>
    <t>LPK5</t>
  </si>
  <si>
    <t>STP1</t>
  </si>
  <si>
    <t>STP2</t>
  </si>
  <si>
    <t>Fab</t>
  </si>
  <si>
    <t>Mar</t>
  </si>
  <si>
    <t>Ms Excel Consolidate</t>
  </si>
  <si>
    <t>Sum of Total Fee</t>
  </si>
  <si>
    <t>Item</t>
  </si>
  <si>
    <t>QTY</t>
  </si>
  <si>
    <t>PD</t>
  </si>
  <si>
    <t>CPU</t>
  </si>
  <si>
    <t>LCD</t>
  </si>
  <si>
    <t>Budget</t>
  </si>
  <si>
    <t>FD Amount</t>
  </si>
  <si>
    <t>ROI</t>
  </si>
  <si>
    <t>Months</t>
  </si>
  <si>
    <t>Students</t>
  </si>
  <si>
    <t>Forecast(Students)</t>
  </si>
  <si>
    <t>Lower Confidence Bound(Students)</t>
  </si>
  <si>
    <t>Upper Confidence Bound(Students)</t>
  </si>
  <si>
    <t>ADSA-06 MONTHS Total</t>
  </si>
  <si>
    <t>ADCA-06 MONTHS Total</t>
  </si>
  <si>
    <t>TDA-06 MONTHS Total</t>
  </si>
  <si>
    <t>CSA-06 MONTHS Total</t>
  </si>
  <si>
    <t>GDA-06 MONTHS Total</t>
  </si>
  <si>
    <t>ADCA-12 MONTHS Total</t>
  </si>
  <si>
    <t>CSA-12 MONTHS Total</t>
  </si>
  <si>
    <t>ADSA-12 MONTHS Total</t>
  </si>
  <si>
    <t>TDA-12 MONTHS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</si>
</sst>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3" formatCode="_(* #,##0.00_);_(* \(#,##0.00\);_(* &quot;-&quot;??_);_(@_)"/>
    <numFmt numFmtId="164" formatCode="_-* #,##0[$৳-845]_-;\-* #,##0[$৳-845]_-;_-* &quot;-&quot;??[$৳-845]_-;_-@_-"/>
    <numFmt numFmtId="165" formatCode="#,##0.00[$৳-845];[Red]#,##0.00[$৳-845]"/>
    <numFmt numFmtId="166" formatCode="#,##0[$৳-845];[Red]#,##0[$৳-845]"/>
    <numFmt numFmtId="167" formatCode="#,##0;[Red]#,##0"/>
  </numFmts>
  <fonts count="22">
    <font>
      <sz val="11"/>
      <color theme="1"/>
      <name val="Aptos Narrow"/>
      <family val="2"/>
      <scheme val="minor"/>
    </font>
    <font>
      <b/>
      <sz val="11"/>
      <color theme="1"/>
      <name val="Aptos Narrow"/>
      <family val="2"/>
      <scheme val="minor"/>
    </font>
    <font>
      <b/>
      <sz val="16"/>
      <color theme="1"/>
      <name val="Bahnschrift"/>
      <family val="2"/>
    </font>
    <font>
      <b/>
      <sz val="14"/>
      <color theme="0"/>
      <name val="Aptos Narrow"/>
      <family val="2"/>
      <scheme val="minor"/>
    </font>
    <font>
      <b/>
      <sz val="12"/>
      <color theme="1"/>
      <name val="Aptos Narrow"/>
      <family val="2"/>
      <scheme val="minor"/>
    </font>
    <font>
      <b/>
      <sz val="14"/>
      <color theme="1"/>
      <name val="Aptos Narrow"/>
      <family val="2"/>
      <scheme val="minor"/>
    </font>
    <font>
      <b/>
      <sz val="11"/>
      <color theme="3"/>
      <name val="Aptos Narrow"/>
      <family val="2"/>
      <scheme val="minor"/>
    </font>
    <font>
      <b/>
      <sz val="11"/>
      <color theme="0"/>
      <name val="Aptos Narrow"/>
      <family val="2"/>
      <scheme val="minor"/>
    </font>
    <font>
      <b/>
      <sz val="14"/>
      <color theme="1"/>
      <name val="Bahnschrift SemiBold"/>
      <family val="2"/>
    </font>
    <font>
      <b/>
      <sz val="16"/>
      <color theme="3" tint="0.499984740745262"/>
      <name val="Aptos Narrow"/>
      <family val="2"/>
      <scheme val="minor"/>
    </font>
    <font>
      <b/>
      <sz val="26"/>
      <color rgb="FF002060"/>
      <name val="Aptos Narrow"/>
      <family val="2"/>
      <scheme val="minor"/>
    </font>
    <font>
      <b/>
      <sz val="18"/>
      <color rgb="FF0070C0"/>
      <name val="Aptos Narrow"/>
      <family val="2"/>
      <scheme val="minor"/>
    </font>
    <font>
      <sz val="12"/>
      <color theme="1"/>
      <name val="Aptos Narrow"/>
      <family val="2"/>
      <scheme val="minor"/>
    </font>
    <font>
      <sz val="14"/>
      <color theme="1"/>
      <name val="Aptos Narrow"/>
      <family val="2"/>
      <scheme val="minor"/>
    </font>
    <font>
      <u/>
      <sz val="11"/>
      <color theme="10"/>
      <name val="Aptos Narrow"/>
      <family val="2"/>
      <scheme val="minor"/>
    </font>
    <font>
      <u/>
      <sz val="14"/>
      <color theme="10"/>
      <name val="Aptos Narrow"/>
      <family val="2"/>
      <scheme val="minor"/>
    </font>
    <font>
      <sz val="11"/>
      <color theme="1"/>
      <name val="Aptos Narrow"/>
      <family val="2"/>
      <scheme val="minor"/>
    </font>
    <font>
      <sz val="16"/>
      <color theme="1"/>
      <name val="Aptos Narrow"/>
      <family val="2"/>
      <scheme val="minor"/>
    </font>
    <font>
      <b/>
      <sz val="14"/>
      <color theme="5" tint="-0.499984740745262"/>
      <name val="Aptos Narrow"/>
      <family val="2"/>
      <scheme val="minor"/>
    </font>
    <font>
      <sz val="11"/>
      <color indexed="8"/>
      <name val="Aptos Narrow"/>
      <family val="2"/>
      <scheme val="minor"/>
    </font>
    <font>
      <b/>
      <sz val="11"/>
      <color rgb="FF000000"/>
      <name val="Calibri"/>
      <family val="2"/>
      <charset val="1"/>
    </font>
    <font>
      <sz val="10"/>
      <color theme="1"/>
      <name val="Arial Unicode MS"/>
      <family val="2"/>
    </font>
  </fonts>
  <fills count="17">
    <fill>
      <patternFill patternType="none"/>
    </fill>
    <fill>
      <patternFill patternType="gray125"/>
    </fill>
    <fill>
      <patternFill patternType="solid">
        <fgColor rgb="FF002060"/>
        <bgColor indexed="64"/>
      </patternFill>
    </fill>
    <fill>
      <patternFill patternType="solid">
        <fgColor rgb="FF00B0F0"/>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rgb="FF00B050"/>
        <bgColor indexed="64"/>
      </patternFill>
    </fill>
    <fill>
      <patternFill patternType="solid">
        <fgColor rgb="FFFFC000"/>
        <bgColor indexed="64"/>
      </patternFill>
    </fill>
    <fill>
      <patternFill patternType="solid">
        <fgColor theme="3" tint="0.49998474074526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rgb="FF0070C0"/>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3" tint="0.749992370372631"/>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auto="1"/>
      </left>
      <right style="thin">
        <color auto="1"/>
      </right>
      <top/>
      <bottom style="thin">
        <color auto="1"/>
      </bottom>
      <diagonal/>
    </border>
  </borders>
  <cellStyleXfs count="4">
    <xf numFmtId="0" fontId="0" fillId="0" borderId="0"/>
    <xf numFmtId="0" fontId="14" fillId="0" borderId="0" applyNumberFormat="0" applyFill="0" applyBorder="0" applyAlignment="0" applyProtection="0"/>
    <xf numFmtId="43" fontId="16" fillId="0" borderId="0" applyFont="0" applyFill="0" applyBorder="0" applyAlignment="0" applyProtection="0"/>
    <xf numFmtId="0" fontId="19" fillId="0" borderId="0"/>
  </cellStyleXfs>
  <cellXfs count="96">
    <xf numFmtId="0" fontId="0" fillId="0" borderId="0" xfId="0"/>
    <xf numFmtId="0" fontId="1" fillId="0" borderId="0" xfId="0" applyFont="1"/>
    <xf numFmtId="0" fontId="4" fillId="0" borderId="0" xfId="0" applyFont="1"/>
    <xf numFmtId="0" fontId="1" fillId="4" borderId="0" xfId="0" applyFont="1" applyFill="1"/>
    <xf numFmtId="0" fontId="1" fillId="5" borderId="0" xfId="0" applyFont="1" applyFill="1"/>
    <xf numFmtId="0" fontId="1" fillId="6" borderId="0" xfId="0" applyFont="1" applyFill="1"/>
    <xf numFmtId="0" fontId="1" fillId="0" borderId="1" xfId="0" applyFont="1" applyBorder="1" applyAlignment="1">
      <alignment horizontal="center" vertical="top"/>
    </xf>
    <xf numFmtId="0" fontId="0" fillId="2" borderId="0" xfId="0" applyFill="1"/>
    <xf numFmtId="0" fontId="8" fillId="7" borderId="0" xfId="0" applyFont="1" applyFill="1"/>
    <xf numFmtId="0" fontId="1" fillId="8" borderId="0" xfId="0" applyFont="1" applyFill="1" applyAlignment="1">
      <alignment horizontal="center"/>
    </xf>
    <xf numFmtId="0" fontId="9" fillId="0" borderId="0" xfId="0" applyFont="1"/>
    <xf numFmtId="0" fontId="7" fillId="2" borderId="0" xfId="0" applyFont="1" applyFill="1"/>
    <xf numFmtId="0" fontId="0" fillId="0" borderId="0" xfId="0" applyAlignment="1">
      <alignment horizontal="right"/>
    </xf>
    <xf numFmtId="0" fontId="1" fillId="0" borderId="0" xfId="0" applyFont="1" applyAlignment="1">
      <alignment horizontal="right"/>
    </xf>
    <xf numFmtId="0" fontId="7" fillId="2" borderId="0" xfId="0" applyFont="1" applyFill="1" applyAlignment="1">
      <alignment horizontal="right"/>
    </xf>
    <xf numFmtId="0" fontId="0" fillId="3" borderId="0" xfId="0" applyFill="1" applyAlignment="1">
      <alignment horizontal="center"/>
    </xf>
    <xf numFmtId="0" fontId="6" fillId="9" borderId="0" xfId="0" applyFont="1" applyFill="1" applyAlignment="1">
      <alignment horizontal="center"/>
    </xf>
    <xf numFmtId="0" fontId="4" fillId="10" borderId="0" xfId="0" applyFont="1" applyFill="1"/>
    <xf numFmtId="0" fontId="4" fillId="11" borderId="0" xfId="0" applyFont="1" applyFill="1"/>
    <xf numFmtId="0" fontId="0" fillId="4" borderId="0" xfId="0" applyFill="1"/>
    <xf numFmtId="0" fontId="1" fillId="11" borderId="0" xfId="0" applyFont="1" applyFill="1"/>
    <xf numFmtId="16" fontId="0" fillId="0" borderId="0" xfId="0" applyNumberFormat="1"/>
    <xf numFmtId="0" fontId="4" fillId="12" borderId="1" xfId="0" applyFont="1" applyFill="1" applyBorder="1" applyAlignment="1">
      <alignment horizontal="center" vertical="top"/>
    </xf>
    <xf numFmtId="0" fontId="13" fillId="0" borderId="0" xfId="0" applyFont="1"/>
    <xf numFmtId="0" fontId="1" fillId="0" borderId="0" xfId="0" applyFont="1" applyAlignment="1">
      <alignment horizontal="center"/>
    </xf>
    <xf numFmtId="0" fontId="3" fillId="13" borderId="1" xfId="0" applyFont="1" applyFill="1" applyBorder="1" applyAlignment="1">
      <alignment horizontal="center"/>
    </xf>
    <xf numFmtId="0" fontId="0" fillId="0" borderId="0" xfId="0" applyAlignment="1">
      <alignment horizontal="center"/>
    </xf>
    <xf numFmtId="0" fontId="1" fillId="5" borderId="1" xfId="0" applyFont="1" applyFill="1" applyBorder="1" applyAlignment="1">
      <alignment horizontal="center"/>
    </xf>
    <xf numFmtId="0" fontId="4" fillId="10" borderId="0" xfId="0" applyFont="1" applyFill="1" applyAlignment="1">
      <alignment horizontal="center"/>
    </xf>
    <xf numFmtId="10" fontId="4" fillId="0" borderId="0" xfId="0" applyNumberFormat="1" applyFont="1"/>
    <xf numFmtId="164" fontId="0" fillId="0" borderId="0" xfId="2" applyNumberFormat="1" applyFont="1"/>
    <xf numFmtId="0" fontId="18" fillId="0" borderId="0" xfId="0" applyFont="1"/>
    <xf numFmtId="8" fontId="0" fillId="0" borderId="0" xfId="0" applyNumberFormat="1"/>
    <xf numFmtId="10" fontId="1" fillId="0" borderId="0" xfId="0" applyNumberFormat="1" applyFont="1"/>
    <xf numFmtId="165" fontId="0" fillId="0" borderId="0" xfId="0" applyNumberFormat="1"/>
    <xf numFmtId="10" fontId="0" fillId="0" borderId="0" xfId="0" applyNumberFormat="1"/>
    <xf numFmtId="9" fontId="0" fillId="0" borderId="0" xfId="0" applyNumberFormat="1"/>
    <xf numFmtId="2" fontId="0" fillId="0" borderId="0" xfId="0" applyNumberFormat="1"/>
    <xf numFmtId="0" fontId="12" fillId="0" borderId="0" xfId="0" applyFont="1"/>
    <xf numFmtId="0" fontId="1" fillId="15" borderId="0" xfId="0" applyFont="1" applyFill="1"/>
    <xf numFmtId="0" fontId="1" fillId="16" borderId="0" xfId="0" applyFont="1" applyFill="1"/>
    <xf numFmtId="0" fontId="1" fillId="0" borderId="3"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0" fillId="0" borderId="0" xfId="0"/>
    <xf numFmtId="0" fontId="1" fillId="0" borderId="0" xfId="0" applyFont="1"/>
    <xf numFmtId="0" fontId="1" fillId="0" borderId="0" xfId="0" applyFont="1" applyProtection="1"/>
    <xf numFmtId="14" fontId="0" fillId="0" borderId="0" xfId="0" applyNumberFormat="1"/>
    <xf numFmtId="0" fontId="0" fillId="0" borderId="0" xfId="0" applyAlignment="1">
      <alignment horizontal="center"/>
    </xf>
    <xf numFmtId="0" fontId="0" fillId="0" borderId="0" xfId="0" applyAlignment="1">
      <alignment horizontal="center" vertical="center" wrapText="1"/>
    </xf>
    <xf numFmtId="0" fontId="0" fillId="0" borderId="0" xfId="0" pivotButton="1" applyAlignment="1">
      <alignment horizontal="center"/>
    </xf>
    <xf numFmtId="0" fontId="0" fillId="0" borderId="0" xfId="0"/>
    <xf numFmtId="0" fontId="1" fillId="0" borderId="0" xfId="0" applyFont="1"/>
    <xf numFmtId="0" fontId="1" fillId="0" borderId="0" xfId="0" applyFont="1" applyProtection="1"/>
    <xf numFmtId="0" fontId="1" fillId="0" borderId="0" xfId="0" applyFont="1" applyAlignment="1">
      <alignment horizontal="left"/>
    </xf>
    <xf numFmtId="0" fontId="1" fillId="0" borderId="0" xfId="0" applyFont="1" applyAlignment="1">
      <alignment horizontal="center"/>
    </xf>
    <xf numFmtId="0" fontId="0" fillId="0" borderId="0" xfId="0" applyFont="1" applyBorder="1" applyAlignment="1">
      <alignment horizontal="left"/>
    </xf>
    <xf numFmtId="0" fontId="0" fillId="0" borderId="0" xfId="0" applyBorder="1" applyAlignment="1">
      <alignment horizontal="left"/>
    </xf>
    <xf numFmtId="0" fontId="20" fillId="0" borderId="0" xfId="0" applyFont="1" applyAlignment="1" applyProtection="1"/>
    <xf numFmtId="0" fontId="20" fillId="0" borderId="0" xfId="0" applyFont="1" applyAlignment="1" applyProtection="1">
      <alignment horizontal="left"/>
    </xf>
    <xf numFmtId="0" fontId="0" fillId="0" borderId="0" xfId="0" applyFill="1" applyBorder="1" applyAlignment="1">
      <alignment horizontal="left"/>
    </xf>
    <xf numFmtId="0" fontId="1" fillId="0" borderId="0" xfId="0" applyFont="1" applyFill="1" applyBorder="1" applyAlignment="1">
      <alignment horizontal="left"/>
    </xf>
    <xf numFmtId="14" fontId="0" fillId="0" borderId="0" xfId="0" applyNumberFormat="1"/>
    <xf numFmtId="0" fontId="21" fillId="0" borderId="0" xfId="0" applyFont="1" applyAlignment="1">
      <alignment vertical="center"/>
    </xf>
    <xf numFmtId="166" fontId="0" fillId="0" borderId="0" xfId="0" applyNumberFormat="1"/>
    <xf numFmtId="167" fontId="0" fillId="0" borderId="0" xfId="0" applyNumberFormat="1"/>
    <xf numFmtId="0" fontId="5" fillId="0" borderId="0" xfId="0" applyFont="1"/>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0" fillId="0" borderId="2" xfId="0" applyBorder="1" applyAlignment="1">
      <alignment horizontal="center" vertical="center"/>
    </xf>
    <xf numFmtId="0" fontId="1" fillId="0" borderId="0" xfId="0" applyFont="1" applyAlignment="1">
      <alignment horizontal="center"/>
    </xf>
    <xf numFmtId="0" fontId="1" fillId="0" borderId="0" xfId="0" applyFont="1" applyAlignment="1">
      <alignment horizontal="right"/>
    </xf>
    <xf numFmtId="0" fontId="7" fillId="2" borderId="0" xfId="0" applyFont="1" applyFill="1" applyAlignment="1">
      <alignment horizontal="center"/>
    </xf>
    <xf numFmtId="0" fontId="3" fillId="2" borderId="0" xfId="0" applyFont="1" applyFill="1" applyAlignment="1">
      <alignment horizontal="center"/>
    </xf>
    <xf numFmtId="0" fontId="5" fillId="3" borderId="0" xfId="0" applyFont="1" applyFill="1" applyAlignment="1">
      <alignment horizontal="center"/>
    </xf>
    <xf numFmtId="0" fontId="2" fillId="0" borderId="0" xfId="0" applyFont="1" applyAlignment="1">
      <alignment horizontal="center" vertical="center"/>
    </xf>
    <xf numFmtId="0" fontId="3" fillId="8" borderId="0" xfId="0" applyFont="1" applyFill="1" applyAlignment="1">
      <alignment horizontal="center"/>
    </xf>
    <xf numFmtId="0" fontId="15" fillId="0" borderId="0" xfId="1" applyFont="1" applyAlignment="1">
      <alignment horizontal="center"/>
    </xf>
    <xf numFmtId="0" fontId="13" fillId="0" borderId="0" xfId="0" applyFont="1" applyAlignment="1">
      <alignment horizontal="center" vertical="center"/>
    </xf>
    <xf numFmtId="0" fontId="12" fillId="0" borderId="0" xfId="0" applyFont="1" applyAlignment="1"/>
    <xf numFmtId="0" fontId="13" fillId="0" borderId="0" xfId="0" applyFont="1" applyAlignment="1">
      <alignment horizontal="center"/>
    </xf>
    <xf numFmtId="0" fontId="3" fillId="13" borderId="0" xfId="0" applyFont="1" applyFill="1" applyAlignment="1">
      <alignment horizontal="center"/>
    </xf>
    <xf numFmtId="0" fontId="3" fillId="2" borderId="0" xfId="0" applyFont="1" applyFill="1" applyAlignment="1">
      <alignment horizontal="center" vertical="center"/>
    </xf>
    <xf numFmtId="0" fontId="17" fillId="0" borderId="0" xfId="0" applyFont="1" applyAlignment="1">
      <alignment horizontal="center" vertical="center"/>
    </xf>
    <xf numFmtId="0" fontId="4" fillId="8" borderId="0" xfId="0" applyFont="1" applyFill="1" applyAlignment="1">
      <alignment horizontal="center"/>
    </xf>
    <xf numFmtId="0" fontId="1" fillId="14" borderId="1" xfId="0" applyFont="1" applyFill="1" applyBorder="1" applyAlignment="1">
      <alignment horizontal="center"/>
    </xf>
    <xf numFmtId="0" fontId="5" fillId="0" borderId="0" xfId="0" applyFont="1" applyAlignment="1">
      <alignment horizontal="center"/>
    </xf>
  </cellXfs>
  <cellStyles count="4">
    <cellStyle name="Comma" xfId="2" builtinId="3"/>
    <cellStyle name="Hyperlink" xfId="1" builtinId="8"/>
    <cellStyle name="Normal" xfId="0" builtinId="0"/>
    <cellStyle name="Normal 2" xfId="3" xr:uid="{16D471D1-017B-46C0-8C3C-36660C413603}"/>
  </cellStyles>
  <dxfs count="22">
    <dxf>
      <font>
        <b/>
        <i val="0"/>
        <color theme="0"/>
      </font>
      <fill>
        <patternFill>
          <bgColor theme="4" tint="-0.24994659260841701"/>
        </patternFill>
      </fill>
    </dxf>
    <dxf>
      <fill>
        <patternFill>
          <bgColor rgb="FFFFC000"/>
        </patternFill>
      </fill>
    </dxf>
    <dxf>
      <fill>
        <patternFill>
          <bgColor rgb="FFFFC000"/>
        </patternFill>
      </fill>
    </dxf>
    <dxf>
      <fill>
        <patternFill>
          <bgColor rgb="FF92D050"/>
        </patternFill>
      </fill>
    </dxf>
    <dxf>
      <numFmt numFmtId="2" formatCode="0.00"/>
    </dxf>
    <dxf>
      <numFmt numFmtId="2" formatCode="0.00"/>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pivotCacheDefinition" Target="pivotCache/pivotCacheDefinition6.xml"/><Relationship Id="rId42" Type="http://schemas.openxmlformats.org/officeDocument/2006/relationships/sharedStrings" Target="sharedStrings.xml"/><Relationship Id="rId47" Type="http://schemas.openxmlformats.org/officeDocument/2006/relationships/customXml" Target="../customXml/item2.xml"/><Relationship Id="rId50" Type="http://schemas.openxmlformats.org/officeDocument/2006/relationships/customXml" Target="../customXml/item5.xml"/><Relationship Id="rId55" Type="http://schemas.openxmlformats.org/officeDocument/2006/relationships/customXml" Target="../customXml/item1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4.xml"/><Relationship Id="rId37" Type="http://schemas.microsoft.com/office/2007/relationships/slicerCache" Target="slicerCaches/slicerCache3.xml"/><Relationship Id="rId40" Type="http://schemas.openxmlformats.org/officeDocument/2006/relationships/connections" Target="connections.xml"/><Relationship Id="rId45" Type="http://schemas.openxmlformats.org/officeDocument/2006/relationships/calcChain" Target="calcChain.xml"/><Relationship Id="rId53" Type="http://schemas.openxmlformats.org/officeDocument/2006/relationships/customXml" Target="../customXml/item8.xml"/><Relationship Id="rId58" Type="http://schemas.openxmlformats.org/officeDocument/2006/relationships/customXml" Target="../customXml/item13.xml"/><Relationship Id="rId5" Type="http://schemas.openxmlformats.org/officeDocument/2006/relationships/worksheet" Target="worksheets/sheet5.xml"/><Relationship Id="rId61" Type="http://schemas.openxmlformats.org/officeDocument/2006/relationships/customXml" Target="../customXml/item1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2.xml"/><Relationship Id="rId35" Type="http://schemas.microsoft.com/office/2007/relationships/slicerCache" Target="slicerCaches/slicerCache1.xml"/><Relationship Id="rId43" Type="http://schemas.openxmlformats.org/officeDocument/2006/relationships/sheetMetadata" Target="metadata.xml"/><Relationship Id="rId48" Type="http://schemas.openxmlformats.org/officeDocument/2006/relationships/customXml" Target="../customXml/item3.xml"/><Relationship Id="rId56" Type="http://schemas.openxmlformats.org/officeDocument/2006/relationships/customXml" Target="../customXml/item11.xml"/><Relationship Id="rId8" Type="http://schemas.openxmlformats.org/officeDocument/2006/relationships/worksheet" Target="worksheets/sheet8.xml"/><Relationship Id="rId51" Type="http://schemas.openxmlformats.org/officeDocument/2006/relationships/customXml" Target="../customXml/item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5.xml"/><Relationship Id="rId38" Type="http://schemas.microsoft.com/office/2011/relationships/timelineCache" Target="timelineCaches/timelineCache1.xml"/><Relationship Id="rId46" Type="http://schemas.openxmlformats.org/officeDocument/2006/relationships/customXml" Target="../customXml/item1.xml"/><Relationship Id="rId59" Type="http://schemas.openxmlformats.org/officeDocument/2006/relationships/customXml" Target="../customXml/item14.xml"/><Relationship Id="rId20" Type="http://schemas.openxmlformats.org/officeDocument/2006/relationships/worksheet" Target="worksheets/sheet20.xml"/><Relationship Id="rId41" Type="http://schemas.openxmlformats.org/officeDocument/2006/relationships/styles" Target="styles.xml"/><Relationship Id="rId54" Type="http://schemas.openxmlformats.org/officeDocument/2006/relationships/customXml" Target="../customXml/item9.xml"/><Relationship Id="rId62"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07/relationships/slicerCache" Target="slicerCaches/slicerCache2.xml"/><Relationship Id="rId49" Type="http://schemas.openxmlformats.org/officeDocument/2006/relationships/customXml" Target="../customXml/item4.xml"/><Relationship Id="rId57" Type="http://schemas.openxmlformats.org/officeDocument/2006/relationships/customXml" Target="../customXml/item12.xml"/><Relationship Id="rId10" Type="http://schemas.openxmlformats.org/officeDocument/2006/relationships/worksheet" Target="worksheets/sheet10.xml"/><Relationship Id="rId31" Type="http://schemas.openxmlformats.org/officeDocument/2006/relationships/pivotCacheDefinition" Target="pivotCache/pivotCacheDefinition3.xml"/><Relationship Id="rId44" Type="http://schemas.openxmlformats.org/officeDocument/2006/relationships/powerPivotData" Target="model/item.data"/><Relationship Id="rId52" Type="http://schemas.openxmlformats.org/officeDocument/2006/relationships/customXml" Target="../customXml/item7.xml"/><Relationship Id="rId60"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File.xlsx]pivot map chart income and expe!PivotTable3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map chart income and expe'!$H$2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1CA-49F8-BAF6-EF2B94E1741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1CA-49F8-BAF6-EF2B94E1741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1CA-49F8-BAF6-EF2B94E1741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1CA-49F8-BAF6-EF2B94E1741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'pivot map chart income and expe'!$G$3:$G$8</c:f>
              <c:multiLvlStrCache>
                <c:ptCount val="4"/>
                <c:lvl>
                  <c:pt idx="0">
                    <c:v>Business Income</c:v>
                  </c:pt>
                  <c:pt idx="1">
                    <c:v>Consulting</c:v>
                  </c:pt>
                  <c:pt idx="2">
                    <c:v>Online</c:v>
                  </c:pt>
                  <c:pt idx="3">
                    <c:v>Workshop</c:v>
                  </c:pt>
                </c:lvl>
                <c:lvl>
                  <c:pt idx="0">
                    <c:v>Income</c:v>
                  </c:pt>
                </c:lvl>
              </c:multiLvlStrCache>
            </c:multiLvlStrRef>
          </c:cat>
          <c:val>
            <c:numRef>
              <c:f>'pivot map chart income and expe'!$H$3:$H$8</c:f>
              <c:numCache>
                <c:formatCode>General</c:formatCode>
                <c:ptCount val="4"/>
                <c:pt idx="0">
                  <c:v>234200</c:v>
                </c:pt>
                <c:pt idx="1">
                  <c:v>13000</c:v>
                </c:pt>
                <c:pt idx="2">
                  <c:v>183000</c:v>
                </c:pt>
                <c:pt idx="3">
                  <c:v>14000</c:v>
                </c:pt>
              </c:numCache>
            </c:numRef>
          </c:val>
          <c:extLst>
            <c:ext xmlns:c16="http://schemas.microsoft.com/office/drawing/2014/chart" uri="{C3380CC4-5D6E-409C-BE32-E72D297353CC}">
              <c16:uniqueId val="{00000000-093B-40EC-9683-62EE03D7E466}"/>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File.xlsx]Pivot mapchart course data!PivotTable4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mapchart course data'!$L$3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mapchart course data'!$K$4:$K$10</c:f>
              <c:strCache>
                <c:ptCount val="6"/>
                <c:pt idx="0">
                  <c:v>Chhattisgarh</c:v>
                </c:pt>
                <c:pt idx="1">
                  <c:v>Madhya Pradesh</c:v>
                </c:pt>
                <c:pt idx="2">
                  <c:v>Odisha</c:v>
                </c:pt>
                <c:pt idx="3">
                  <c:v>Punjab</c:v>
                </c:pt>
                <c:pt idx="4">
                  <c:v>Rajasthan</c:v>
                </c:pt>
                <c:pt idx="5">
                  <c:v>UP</c:v>
                </c:pt>
              </c:strCache>
            </c:strRef>
          </c:cat>
          <c:val>
            <c:numRef>
              <c:f>'Pivot mapchart course data'!$L$4:$L$10</c:f>
              <c:numCache>
                <c:formatCode>General</c:formatCode>
                <c:ptCount val="6"/>
                <c:pt idx="0">
                  <c:v>13203</c:v>
                </c:pt>
                <c:pt idx="1">
                  <c:v>6536</c:v>
                </c:pt>
                <c:pt idx="2">
                  <c:v>4744</c:v>
                </c:pt>
                <c:pt idx="3">
                  <c:v>12648</c:v>
                </c:pt>
                <c:pt idx="4">
                  <c:v>1803</c:v>
                </c:pt>
                <c:pt idx="5">
                  <c:v>40408</c:v>
                </c:pt>
              </c:numCache>
            </c:numRef>
          </c:val>
          <c:extLst>
            <c:ext xmlns:c16="http://schemas.microsoft.com/office/drawing/2014/chart" uri="{C3380CC4-5D6E-409C-BE32-E72D297353CC}">
              <c16:uniqueId val="{00000000-D63E-449A-AB50-FA0B1957317A}"/>
            </c:ext>
          </c:extLst>
        </c:ser>
        <c:dLbls>
          <c:dLblPos val="outEnd"/>
          <c:showLegendKey val="0"/>
          <c:showVal val="1"/>
          <c:showCatName val="0"/>
          <c:showSerName val="0"/>
          <c:showPercent val="0"/>
          <c:showBubbleSize val="0"/>
        </c:dLbls>
        <c:gapWidth val="219"/>
        <c:overlap val="-27"/>
        <c:axId val="1410740512"/>
        <c:axId val="1410741952"/>
      </c:barChart>
      <c:catAx>
        <c:axId val="141074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741952"/>
        <c:crosses val="autoZero"/>
        <c:auto val="1"/>
        <c:lblAlgn val="ctr"/>
        <c:lblOffset val="100"/>
        <c:noMultiLvlLbl val="0"/>
      </c:catAx>
      <c:valAx>
        <c:axId val="1410741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74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Sheet13!$B$1</c:f>
              <c:strCache>
                <c:ptCount val="1"/>
                <c:pt idx="0">
                  <c:v>Students</c:v>
                </c:pt>
              </c:strCache>
            </c:strRef>
          </c:tx>
          <c:spPr>
            <a:ln w="28575" cap="rnd">
              <a:solidFill>
                <a:schemeClr val="accent1"/>
              </a:solidFill>
              <a:round/>
            </a:ln>
            <a:effectLst/>
          </c:spPr>
          <c:marker>
            <c:symbol val="none"/>
          </c:marker>
          <c:val>
            <c:numRef>
              <c:f>Sheet13!$B$2:$B$13</c:f>
              <c:numCache>
                <c:formatCode>General</c:formatCode>
                <c:ptCount val="12"/>
                <c:pt idx="0">
                  <c:v>35</c:v>
                </c:pt>
                <c:pt idx="1">
                  <c:v>35</c:v>
                </c:pt>
                <c:pt idx="2">
                  <c:v>23</c:v>
                </c:pt>
                <c:pt idx="3">
                  <c:v>38</c:v>
                </c:pt>
                <c:pt idx="4">
                  <c:v>20</c:v>
                </c:pt>
                <c:pt idx="5">
                  <c:v>22</c:v>
                </c:pt>
              </c:numCache>
            </c:numRef>
          </c:val>
          <c:smooth val="0"/>
          <c:extLst>
            <c:ext xmlns:c16="http://schemas.microsoft.com/office/drawing/2014/chart" uri="{C3380CC4-5D6E-409C-BE32-E72D297353CC}">
              <c16:uniqueId val="{00000000-3B7D-488E-ACC6-12B592656523}"/>
            </c:ext>
          </c:extLst>
        </c:ser>
        <c:ser>
          <c:idx val="1"/>
          <c:order val="1"/>
          <c:tx>
            <c:strRef>
              <c:f>Sheet13!$C$1</c:f>
              <c:strCache>
                <c:ptCount val="1"/>
                <c:pt idx="0">
                  <c:v>Forecast(Students)</c:v>
                </c:pt>
              </c:strCache>
            </c:strRef>
          </c:tx>
          <c:spPr>
            <a:ln w="25400" cap="rnd">
              <a:solidFill>
                <a:schemeClr val="accent2"/>
              </a:solidFill>
              <a:round/>
            </a:ln>
            <a:effectLst/>
          </c:spPr>
          <c:marker>
            <c:symbol val="none"/>
          </c:marker>
          <c:cat>
            <c:numRef>
              <c:f>Sheet13!$A$2:$A$13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Sheet13!$C$2:$C$13</c:f>
              <c:numCache>
                <c:formatCode>General</c:formatCode>
                <c:ptCount val="12"/>
                <c:pt idx="5">
                  <c:v>22</c:v>
                </c:pt>
                <c:pt idx="6">
                  <c:v>14.42991473984457</c:v>
                </c:pt>
                <c:pt idx="7">
                  <c:v>18.303242347186959</c:v>
                </c:pt>
                <c:pt idx="8">
                  <c:v>7.8467889014465184</c:v>
                </c:pt>
                <c:pt idx="9">
                  <c:v>11.720116508788909</c:v>
                </c:pt>
                <c:pt idx="10">
                  <c:v>1.263663063048468</c:v>
                </c:pt>
                <c:pt idx="11">
                  <c:v>5.1369906703908557</c:v>
                </c:pt>
              </c:numCache>
            </c:numRef>
          </c:val>
          <c:smooth val="0"/>
          <c:extLst>
            <c:ext xmlns:c16="http://schemas.microsoft.com/office/drawing/2014/chart" uri="{C3380CC4-5D6E-409C-BE32-E72D297353CC}">
              <c16:uniqueId val="{00000001-3B7D-488E-ACC6-12B592656523}"/>
            </c:ext>
          </c:extLst>
        </c:ser>
        <c:ser>
          <c:idx val="2"/>
          <c:order val="2"/>
          <c:tx>
            <c:strRef>
              <c:f>Sheet13!$D$1</c:f>
              <c:strCache>
                <c:ptCount val="1"/>
                <c:pt idx="0">
                  <c:v>Lower Confidence Bound(Students)</c:v>
                </c:pt>
              </c:strCache>
            </c:strRef>
          </c:tx>
          <c:spPr>
            <a:ln w="12700" cap="rnd">
              <a:solidFill>
                <a:srgbClr val="E97132"/>
              </a:solidFill>
              <a:prstDash val="solid"/>
              <a:round/>
            </a:ln>
            <a:effectLst/>
          </c:spPr>
          <c:marker>
            <c:symbol val="none"/>
          </c:marker>
          <c:cat>
            <c:numRef>
              <c:f>Sheet13!$A$2:$A$13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Sheet13!$D$2:$D$13</c:f>
              <c:numCache>
                <c:formatCode>General</c:formatCode>
                <c:ptCount val="12"/>
                <c:pt idx="5" formatCode="0.00">
                  <c:v>22</c:v>
                </c:pt>
                <c:pt idx="6" formatCode="0.00">
                  <c:v>6.4473089224206701</c:v>
                </c:pt>
                <c:pt idx="7" formatCode="0.00">
                  <c:v>10.320600608117706</c:v>
                </c:pt>
                <c:pt idx="8" formatCode="0.00">
                  <c:v>-0.2019977688358674</c:v>
                </c:pt>
                <c:pt idx="9" formatCode="0.00">
                  <c:v>3.6712308770007205</c:v>
                </c:pt>
                <c:pt idx="10" formatCode="0.00">
                  <c:v>-6.8528690215749934</c:v>
                </c:pt>
                <c:pt idx="11" formatCode="0.00">
                  <c:v>-2.9797337587436123</c:v>
                </c:pt>
              </c:numCache>
            </c:numRef>
          </c:val>
          <c:smooth val="0"/>
          <c:extLst>
            <c:ext xmlns:c16="http://schemas.microsoft.com/office/drawing/2014/chart" uri="{C3380CC4-5D6E-409C-BE32-E72D297353CC}">
              <c16:uniqueId val="{00000002-3B7D-488E-ACC6-12B592656523}"/>
            </c:ext>
          </c:extLst>
        </c:ser>
        <c:ser>
          <c:idx val="3"/>
          <c:order val="3"/>
          <c:tx>
            <c:strRef>
              <c:f>Sheet13!$E$1</c:f>
              <c:strCache>
                <c:ptCount val="1"/>
                <c:pt idx="0">
                  <c:v>Upper Confidence Bound(Students)</c:v>
                </c:pt>
              </c:strCache>
            </c:strRef>
          </c:tx>
          <c:spPr>
            <a:ln w="12700" cap="rnd">
              <a:solidFill>
                <a:srgbClr val="E97132"/>
              </a:solidFill>
              <a:prstDash val="solid"/>
              <a:round/>
            </a:ln>
            <a:effectLst/>
          </c:spPr>
          <c:marker>
            <c:symbol val="none"/>
          </c:marker>
          <c:cat>
            <c:numRef>
              <c:f>Sheet13!$A$2:$A$13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Sheet13!$E$2:$E$13</c:f>
              <c:numCache>
                <c:formatCode>General</c:formatCode>
                <c:ptCount val="12"/>
                <c:pt idx="5" formatCode="0.00">
                  <c:v>22</c:v>
                </c:pt>
                <c:pt idx="6" formatCode="0.00">
                  <c:v>22.412520557268468</c:v>
                </c:pt>
                <c:pt idx="7" formatCode="0.00">
                  <c:v>26.28588408625621</c:v>
                </c:pt>
                <c:pt idx="8" formatCode="0.00">
                  <c:v>15.895575571728905</c:v>
                </c:pt>
                <c:pt idx="9" formatCode="0.00">
                  <c:v>19.769002140577097</c:v>
                </c:pt>
                <c:pt idx="10" formatCode="0.00">
                  <c:v>9.3801951476719303</c:v>
                </c:pt>
                <c:pt idx="11" formatCode="0.00">
                  <c:v>13.253715099525323</c:v>
                </c:pt>
              </c:numCache>
            </c:numRef>
          </c:val>
          <c:smooth val="0"/>
          <c:extLst>
            <c:ext xmlns:c16="http://schemas.microsoft.com/office/drawing/2014/chart" uri="{C3380CC4-5D6E-409C-BE32-E72D297353CC}">
              <c16:uniqueId val="{00000003-3B7D-488E-ACC6-12B592656523}"/>
            </c:ext>
          </c:extLst>
        </c:ser>
        <c:dLbls>
          <c:showLegendKey val="0"/>
          <c:showVal val="0"/>
          <c:showCatName val="0"/>
          <c:showSerName val="0"/>
          <c:showPercent val="0"/>
          <c:showBubbleSize val="0"/>
        </c:dLbls>
        <c:smooth val="0"/>
        <c:axId val="237735407"/>
        <c:axId val="137400447"/>
      </c:lineChart>
      <c:catAx>
        <c:axId val="237735407"/>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00447"/>
        <c:crosses val="autoZero"/>
        <c:auto val="1"/>
        <c:lblAlgn val="ctr"/>
        <c:lblOffset val="100"/>
        <c:noMultiLvlLbl val="0"/>
      </c:catAx>
      <c:valAx>
        <c:axId val="137400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735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14D8C4E0-F42C-44A3-81FB-7DD2F942CC00}">
          <cx:tx>
            <cx:txData>
              <cx:f>_xlchart.v5.2</cx:f>
              <cx:v>Sum of Deposit Fee</cx:v>
            </cx:txData>
          </cx:tx>
          <cx:dataId val="0"/>
          <cx:layoutPr>
            <cx:geography cultureLanguage="en-US" cultureRegion="SA" attribution="Powered by Bing">
              <cx:geoCache provider="{E9337A44-BEBE-4D9F-B70C-5C5E7DAFC167}">
                <cx:binary>1Hxpk5040u5fcfjzxY12MTE9H4BzqH21y3Z/IaqryiBAbJIA8evfrHa7p8zrZebcuRF3HI5oVwEi
ydSTy5Op/vvD8reH5ul+fLXopjV/e1h+fV1a2//tl1/MQ/mk780brR7GznSf7JuHTv/SffqkHp5+
eRzvZ9UWv+AQ0V8eyvvRPi2v//F3WK146s66h3uruvbaPY3+5sm4xpofXPvmpVf3j1q1qTJ2VA8W
/fo6Kct7a5Up7sfy9aun1irr3/r+6dfXX935+tUv2/X+17tfNSCedY/wLEZvMOeSRgyHf/xBr181
XVv8eVniNyFFWLAQf3nnxb2G5/5Vaf6Q5f7xcXwyBj7pj/9un/5Kfrj49vWrh8619ll3Bajx19fH
7aO6f/1KmS75fCHpnoU/vvjja3/5Wuv/+PvmF/D9m9+8MMxWWT+79L/scn7/WPr7V1fj/eOT+U9a
hrxhRCLBmPyWZYR8g6WMOCEo+uMP+dpA/7pY3zbR9vmNkc6v/quMdPmoTAk76D8Gm/ANQySklLDP
2o++hg19Q7FklITRZ9uxL6/+jJ6fi/Nto3x5bmOMy5v/KmNcuba6//2LRv7vfRgJ30iKEYuw+MoK
gr2hiEuwgfgmRH4ux7et8OW5jRWu4v8qK9zcV/fGlvftf84QmL9hkhJM5J8K/xoVgryRLEQYnNo3
UfEvSfRtk7x4dGOVm5P/Kqu8A7/6H3NS/E2ECeMIfVZ3uInt4MM4JwxL8k14vLMW0qJ/Ia592ySb
xzdmef7O/4+D/LdFe2mYr+74d5Mu/AbUzkLO6TdDe/SGcMKpoH8GF/5lT3yOHn9mQ9+X5tsG+fOx
rwT/f5xafT/t+isnTe/t/e6PZPZF5vXjq398HqTZm0d/hJvPujp+hISXRyGkSn8lyc+L/PnkZ+1+
8e7/65EncJe/vhYAKhJBZMeESwQGBOPMT39cAfcmGYmkfDYdDyP6+lXbjbb89TXBkC4gISIhGWIc
QzpgOvd8BUdvGMSuEB5kgnMOefaXz7vqGl907V+6+PPnV63TV51qrfn1dSTD16/6z/c9f5ygoWCc
YYIjTBn8pRKuP9zfQKkCt6P/UxRFzVWL28y5yRyNqHb3reJ9XEiSX5EmMKfzEPq0CWh32k6yjJlu
i+NxkdVpFLYocZCO3snWs8doDNtkoCLYCxTSFM/VchrUbblbacDjkbH8hGpVxMWy3nNHr7pKpcRh
H/NFnwZBQ9M5kiIWXe7iMVIXxJsxmVZ1hzv6mFOXkInpk9r0Q4Z1g9aYhPWyH3onEo+l2qlKoHcN
U4GMh7psTshK2/O+9utli4R+cHUXJlxy/rtXuDyC982XfeSDPaZBMcQ9p8UdDieWjMHUJ9Q7lY5R
Xv/GtGvSYoW35poUOq5V0z9OIZmO6dAV76k283HQdiQVHE3p0OrrXtXdfe1Le1Ihr4/nUS6XLpAy
60q2kNiYDi1x3S3uqmyW5SioeXvaFbO78dqwJeEtLuPSVvidRzouxmW5VRUpLkxJ5xjnU5cFWlxh
2k7vbBQWT0Ojxg+Kz/Rah+Ecd6GMrpQcSLKMXb/TPFe3U6XxcYT9XSWm4apkCt2SemDHDnR9anWu
zqZStndzvoSZCkMSL6ZQKWyNZByG6n4eenVRlrKc40EhFMXdLKZbGlX6QvTlU05zmayqdolxfPjA
lc+TgPr+ga/5J195uaYiWt6XuD+qS3biHK53qkfoepJ1uFOyqq8qMUcfKF/6M+R7ekr0SI6dW5tH
WodTbOqx07GpSnbhWxJctGsvTRxCjfrQMzdkvSz0sVlKH9flOJ/okOYXc9MOR6KhOrFIomPUBvh8
8OIpH08R/kAqeHMIhdKtCXR30jBj0jVvBYtx5frdWviiSHTQt2sMRtBXBe/qi6hcTRYFq3+H1wZd
to0bk4J2w3tkVn/R+ChPi3AKzzweprQY9JgQMc2pQ2CgGHEcnevZjV1cdr05CsucpK6dbNwE/JOb
qbywTtjdgIdoz+2wJGWHl2MLYL7gkXhXUDWkUc3sXikh98aP4m1UB9O+b3Rzz8tgiLlRRCWMB3mc
1wXaVSM38bB6v1/bIEgW77ok8OGQcteFO7oqFxfKD+ead/4ID05kTRXqY72Ky3YZM03aPhZy7c9z
mdOUVTJhlsfCL322FlPc6yEeqzzxk2+TGXe/s9JniDbqtGCLjHsX1tf9wtW+D8yY1QbHFNV0z9HI
M5yr9lTiUH6s1eKnuAjb6RqpYb7hbf+Rcv17uxY7tpoz04qHamr51ZrX8qgPRrofkc7B+TyvqEdJ
khnNTdKvN7OhNxIpH+tmtOkw5P62iJSNyVy3ca70kCxKPxLWXYxqXXbc4jZBjgc3He/d+7KbcRyi
es3GmoeXoqts0vkWnYZVYU86Q+jO2V48WVnne95xcj46AmAKBdrlSkS3RGDQ6kIxOI9oScw0DUnH
unUP+7jdSeTnNq7Wfnlf6FweE1GVu6Y2Zo9D0Z0sIlCJqCeTTV3lj+uOLUWMjOHHZi3WLHf5eiWL
le0LQUyck0LEPvdLWoxgbV+zMmFrG8UoKG1WR0OzC3LRxb13NMMOCIOYcvJ7X6FygLs7f2bHECU6
tMtJWHf5e98GazJ1dX9mo3k6CYelPWmbWR6VOmp/n1lrT+cSh4mM6vAGQN6XsSpFHjfzwFWy4Jm8
46oTOLG+6Xd1u7gpzmkpL0wBjm9XKkn21VQ18ZLz4nGJ9DsyD8Ou9yoLGuRjUMRRQzuRQsBgH6Y2
uHZmvvAKvjyvknJSbTJOnhXxKnn1YSz0utONrJLKW7vvukqm+dhEPq4wYzsyliY2kQP8W88So5DK
bMvCKyOaXR26Ji6LKAnafIqrSJy5irnEkbJIakJPq7UzMY3kbbtOyynrIHbHrKX2tgy4SrWbH2tJ
6qO5K1Ca59N52arrCnKztK6CZb/KaUyUCenedvOaEZf3GWHgwRmq1mTJybBzep2eosJel5N4V/He
RvEECySo7v2HvgK3ERe5rtjRxHOamJXmSWjD1DT5mNnQrPEa5v431UTsJuTNdAqrJ42cjvKp+Ghr
8PqNekuIuMC62HWBmRPdFHpnbBDGrMmDpFxMeTYGYXWydDU9FhUfkhy+/D3TEfloSDWnapD1MUSJ
o9bm/W3RBGPmB5ezBE3TXMS6bPsPyyqK04F7eym070+7QNgnHdEghp37HAa9AqPqdm8Yj1KxmujG
cIVivbgdD90Hh6eLvNKnbq7WC6SL824sMYTZpk3yrrVzHA2qC9O8Aqe6oPAkGIYinok5I4tP9IKn
GJcWxbQiWddU2QglTWyHivRxUOs6Ras9HvUcL4vszzCVRQx3PSHjI7bnbQ1abAweb0kxD2e9fBIL
mT8p4fOLYallPOcMnzI7yjabZmV52nWzvV8hDD1VayjTfgmbK1SX/RR7vgwQ3qppfatbad/WYUSC
NPK1xsncqOHaT6FNfc/G88CbMmVWjyxW2Id34HqqdOjzJTNDa+IZ+zkLcYvSVTYydfNYJR6V/Dao
y+VYS7/qjBc+L1NSmrd9GUCQHuSlDJjrYy2DO6/EmvQdpChF2D81/bK87bVoksAIvne0gehNiI6u
Je3uFjFdde2kd21bXlg17rmTfWyJ+4Ds+G5ctYlJW5Nr4FC6fRu1fg9hLzpvc12qnQ8b8aFipok7
SCsKVj9UJc1IVxytRp1aJY5mO7t0nmlbpCvVhQZkdXpXTOAwTLXrKtbtUTgcdcxd+SC8qcPyAQLa
3TxOj4bRbFhmdtEXxbAvEI0SXvWwd/2KIO5CFpaXO9ZykVZ89ee9oWGSG01T4ulwkbNy37C8KNN5
ESaNSuouipCuseiHGcWBqfq0YiF5C+5XnvnVOBXbKaA7SOHbY4Qg66TlRdjV6jRYTJCqaSZHw2rC
a8ji/G1XNeueTjO7QlJDJlw90gISWL1Qd+rA0MnQuHNeme4kKLsgNow1MTPYpGFPopMcK5sigpYj
Ekxh0o3BfeV5f+SHpjmbpYcQnQ98Z0U3xoPhS9qtJTszc46uIP0eTqSY8FHfzcXJkFenOliGj65a
xN2Ug//DkypJXPtgjoW18mYcZH8Z5Qhlc9Xdy6YFeaOx380QfeJF8OMhUD4xg/0w8PF+mDqWKmxp
7PWQcVtXJ3mIgvdMafmh1XOwU0MZvGvpmGreFw7MoVzSgOqeliDXO8go+fXsfZEsVRuyONKjOeFD
3RzZYTiC0oIfkdlyUKouzvIi6K+EhCBVdE1KbOve96UdzpiS48dOdSit2dDKeORDAI6HlAmea7NH
+TDC3lF5UnqdJ3MRBXsu6ihZGWVZP7n8XevL4TossEyHcshvyNiTC66K/hhysPmmw037fixGkxA9
0zhgzN/gQIfxpGzz2GkkskHx9lPU93m2zD1N5AAZdC8qeoYRXZt4DVp9r7Aqz9i0VixGs8SnXejV
bVFAlhcHfFB3JmwgZDS9SbHLiwvUhGFWEB1eIOEB11NBYl4ac5yvGh2Foi1+a+mK4hwLnM7BrB/p
4KKLQPbsziMUxM7OPObEmY+RGYqbeqia225e8Mks5QAhD6kJVI950kMlsAPEVIkxz8G1La9NRffr
yEpI2Iy5c2VOjwKzzBeCTHnC56G9oMaaUx0ysVvz/Glu5xHFa1/yfdt4SN0Wku/rlcuPaBnJadFq
cjOv3OwWi4bTwlQc8k/Ojrxl7DcoWYfdqovoqbc5TiMoAI9LL7tLXih1MaFSHTFqISGn7XDSkSiE
qEGj/dIOEiVYXdXB3O5cAZm5VBE6UQFibYKj6gKv46UOSxzbhZl4ElafyLW2Ku5xdGwFImdsHutP
8KHDLo96cVqLko5xY7s8nhv/ieXrg9W1j2U4Fkk/yyJF44JieIuK6VSA/2za/DQvi4upriFzRNE5
7n2dcsmmxNRMvVdB5dN5bT52cloTVVTivHdVrNla7dtQ+6TDZj59LvLL2LZPw9xnTOrotLOR3+Vj
GaW9H6q7ssQBicWCirQEzKXNxG3Mh7JNnRvRGYUULBkwbt8VkMDnUMtNd0XIeBwM4W3li3xP872c
8wzVQ32S6+m6mnkqihmci4eUPAz3QYH8hc/XYW8LvMTEL5cVNb/D9lziatHVheumNWV+NOlgBwE1
N6fZuCLSxnXY9gkjsFGbXMd2rPila8qPaxleFOA/d02Iw+fcQO27IQh2Ux/gHdR5+ZGsdJPWVI3X
U9+oNCzNcDSZaN0FrNJHECmqEzT1bTxMWl661dPMrGJIWlacT4KEBbwrLE7U4tAcNxhce1lXGKeo
y00erxF+jzEkT1QmdGiqeGq6pki6PqgTSHyPyu6slnKOXTHNZxpcYR3LYJluDavajzrHAB5Sovxh
zNs1iPNSLE0clsMSJuFUXesRBTcLZdrq45FOMpa2DC2kmWy66HTdXlS2Qr9BBBwv+qCBMrccQfCq
HmS8KrQUCQqiD46s+R1Gju6GCeqW2CoP9aluF3/cjjXKuI5sJvqC34ztUp94y90x8x27IQulmZvw
+MDHKgpTXjr1sesi+7Bovcam7wGMEzhPUE10mg+oO7Yg5FGEZx9PnNaJ6oxNYQH6AWrp+W5ySt/a
YaYXtcBdVqK2W2MejpcEbHqNNQZhVmnvCjw/9U2Fd1AJqZMynNClR/Avt+RRQgmZgDdgQxObNkCX
EG3RTtOphpKj1LH3wVlQhXVcN7TYC0gs4ggNQdw0KKpirBhwPGsFsA37SNyKZgl2kcYzJNydPg91
uMPjKpOwYOCxpkIdcT/VJ9FIxiSy3duF1/djP5+vXgVxNavHuqbVsRjGcz2NJAn9MvQxWd4bKH4k
YFgQ5M9d5H/rhjY4UVVZXr/sAX/FmT10vR9VUf7ZfP/rx3+87TT8/aMp/M9fPvfu//lT9tQ904Fm
e9Mzo/nXXf9sLD+ziH91mTe85OcBgC+s3r9z8StG8yve9gsh/Ez6IfRDPvMrtviv+z+TmZGADhkS
hDFCORcRh4bNZzKTyzcoYggIRhaFULkT6B18ITPZG+jiRByoRgpMKHu+9Cebyd8IHsIvpcACWm9R
9G+xmcCXvuAyA4jBggpwUM8c5wsO0+RLDhlbxI9KlEbs0kzQ4vmLz/1zB7xkSb+9Lo7gY1+uG2E1
cdMsYmdZCbt8BSoFWCy+fJ4y+Dxk8G8sv6FeKxHUfl5asQOfMo43M1/D4i2wo92nH4sPBPM31IIj
aHZ+Jb5ea+nqnO8izMx63SMdhXFJKoaAOws18DFksPn+xy/7nq6ehXhpAx7yai5avlsMkQQiLSnG
uPNc/vbj9Z+F/idf/cXGOAJG/OX6IhrCvoo83znU03OEZqpv57AK+ZmXtl2yQKx8jLUfeuh9H2L8
5w998UG9DPtJPL9waiKxnHSly11CjYMC6McveN5F3/oiAOXLF0i1zqF1hO0guRXzCfckx0kPrBZk
l3VZ4XPkagfpAFSHXsSQVKJhH7blNB79+P3o6xbAP1WKvxagFxpSG+MZ5FwFcFUSywy86ae+JsNc
x0MxTzp2XgRnUHKgeudw18k2DgqJ9dmPRfjepgHH8FIFTeH11LAZVCAxS8jYfRJsVj/5vu8tvvEK
HSAViirLdt4b8SHsfBfnk6suDxJdbnwDkE+KGzKyXU2UegphHuysDZ458MOW3/iGLphZP5RAZjVW
THdoHihQZ6s4zPPIjWcYm7nqezywne2Cdd2FSzCNKe+7Thwo/sYb4KVA0jcVeIOOOuAxOF9oPAwA
pfTH+vmObxMb8OgIivDKFSLTjYFKT2g9uDsyrFF4YoMyEtfQKSP8+Mcv+85OkhvfgysPuYvpg6zt
vOBXBkaH7J22Nvh02PrP733haowMXTgvTGZrh/TOFzQY40XV0P768frPcn7D08iNsiLg+RpotOVZ
F8hV76HE66ddM3uk0kGVwLAc9pqNPyG0y+XcByKz1mF71PKuDXdrC5XHrld2Xg7Dtdw4jaGbhpws
WmY9rte39ejLy1bw6O1hH7HxGnO9SDRDjpPhYFG7xoyCnBXUQ5enZrJefqKq7+wosfEepSz6Wope
ZmND/XGg1/AyKtDYwMTQAbFLbL1HrnwIyuGZEwMUgWG10I98BS7jsOU37sNNohMShhWyqQEL2Gd+
mbpA9AdKv3EeTpHWN76SGTVTDTbwcgEuDViW9cAXbPBcRwEbogW0HyE9tMc98AzzbqzEOl8dpqAN
oAX2xKBg4VlkSnUnpDFXiyqArDlsefy1vxB+BPIEKJusJ9SqI7uSJYrLWs/hYRATG4gt0BWE7tgo
oGtX9PTYaAyVceXo+LPY/LwRv+GRxAZlvqiKUM9gYmjS9WNaFUSIKx2sEz8pbK7r3QK8avuh0ZL8
5tpibn/iyb+X8zzXLy9dbbMU0BdbgUHpGtn0J2VgcgGZfR1BWiftXFEbt7Zap0SVvNf7elkLkXI6
k+4W+F3uDlMw3wDU5zwQsg7yTIvApUTNIpOiIT/ZH+jZTt9QL98AlE12Uc+N5IyE69jtVpRPdgcs
2Noc9RER/rIwuvvUB3TWR3SVLbtYCMHtORZSVsAkQBftJ6J8x9GxDRJIP7HewgxGBowgTWYioDOn
kTrMjbJNYJMthoabGNYssLiEJgN0HXkt6GGy840fkm3FgG1XNOtFbkjCVyA2l2UeDhOeb7xQMxKO
/FKJbAz6OSsstM7jgsji8SAnwTead9Bml1VV0KzoF/mRQWS+MGGgDwsBfKP5gRRtFQQiylgDVVji
oB+yxk6N3vwEId/xEHzj44waPMPLKDPr5xwfSzqO4e9Lj8BblLgMu7hVrtcxXqEd8dDr1eADzbLx
fWRuGwAAzChwmWsX9wM2wHk5GhwYffjG9610rQfHR7FzA0M7YL+gSca7ID3I7Gzj4HgOU1nVsKyZ
cYXN1lZUMR/76if+83nzfMOxsI3f4igsgwXS7KzCSifYoirNfYcP21Rs47agYutgfqNbMww1L5C0
6H1b0J8lwd8TfYNmxPuWLg3MUhTC23Pn2xBSi6FE1WH7hm3gXFbO9mQETwf9sOgYT0ud5kTS7DCz
buBQhcEYzrlZswGpZm+itkgmRtf9j1d/lvFbZt3s+RbapuuKgjmbA/YEZWc97amt+zazs+CHeVO2
2fZkEhPw5vkMQxF8vAGqt9oh2tWHleN0s+1tC6kQNKbmrKOMH8uIubTyML31Y/18Z+9shySR1U0u
18plhWnoqWo0dH+W5kDRN7seAnVe14jYbOiqHCUjwyYR5VKXh3kEutn40A03NXTvGTQE1XJS28Ke
uTxvDtuYdLPtgR8NJuQqux9dMZtbMoeyuWSj5OWBun+2yYviuIb25lBMeIGU0K1J3bOPPvLtTzb+
9wy7CWOsCmoqZT7thqZEMTEOx0MUuQNFx1+LTvqKYmhITaD54OOIIb9royU/0KwbzNb9OgaB4X+K
TvGAYzbxQ0XfopXJ3MkSTbtoBtIYP69uDlYM2aAVZjr7vDGw+lJFZeJk7WLOcXWY2skmSJWUyQ5a
lbA6xU+Dos2+UMWBzBbZoLWGU6FSwZjnLlqdzhoRjVB58eWw+Eo2WF0sEXnj62nHbA7TS2jCMepz
e1iIIhus6rLHMKgcul07rW08l+rJVTB5cJCPJBucmnWEWdVydjtdlzTmlH0MJpjQPGzxDU7DnI3E
l4HdiSFsU7Ooe+NWc+Di+GuYDiaCoRXl3K7i0L3nlWpiN2Jx4OobnApSBYUKIhA9cujcQHvkKhdF
c1iLimxwujiKWworZyuCM8nx2krO0sAG0hy2Z/AGqniAYU3XF1PmqW7HOCA9zNrM2D4cZFi8wSpS
OR67RUNkzU1zElUGpaau/O6w1TdgdWPek8Izl9mI/IYqfG0ouT5s6S1Sja80dMJtpsrgAtzjR4/F
gfTd8+mPlyEvUkoL1AqbVXMJE0Mle9vVeXegQTc4heHHYIykc1mgrEqaSpwJPISHbXa8wSm0hefe
LDLYtc3yqDx6j5k+PUzhG5RKNRcwThL4DJY1MKGBTcljb0hxmOvFG5xOBXNlTUebwdm38AO14Adi
o1Z0WKaBN0B1Q4PDJu9cprtxTbtF/F6qPj9M7WgD0lyqQUxqdBnM9cB4rO5B9Ppnndfv5EhoA9Go
5VT1gbYZHF2KzqUp0HkT5P37g8yKNhDFFtsR/o8GsB3LvIxhMO+DkOowk6INRlfaRVVe1i4b2URi
JJePzSCvDpN7g1E602VWBNYOKvOWOn/OqDk/bOkNQrs5zwtLCrsLczi2EVT5mVrDA2vs51GQl74F
ob4Xa4ADmMKOLrUXH+Xom8NcC9pANCghTx870ElTttdd0e1hXPgwT/4H0/miCqD97MkCnPquW6ej
ccanlB0WQf9gil+s3Hs41NL1UNtxGE2V3ZK1Y35YmzXcwFI1dimdA6F7/W6dXFKJu4N2SLiBZBNV
Y7/WYERa1r+PC8x0r/wwPxVu8OiGqV78zG3mTYXert7irHLEpIcJvkEkafOlrRRMw5kARglwWx9F
efThsLU3iKwbZRicPAxgGBmy2yDk9zQiBwa2cINJ2NjD0IQQkkvFF5jppjDkH4npMOA8nzd9CUpp
YKaVsinYDfx27FIJTPBhOtkgsizKgQ6lt5mTMMwB5yf6GA387WGLbyLmDP1379vc7FDZH80N9PYH
UtkDd8omXo4Ojo8FDSwuG3ZFXP+gqB8P0gqc8vta3TCiBqfgZGR2oyZXcHziAY4rHbr2BppoVoKQ
BQH1ikl45mRRnQx04QdpBW1HukpDpwbyWdgobOVwEqh61/DyoAQL5vW+1soSOTrXESB/Id5WCRyi
5F2KIQNSB7kWmBb8+gX9rGkO/Q6bFbS/D+bpPRD47w7Ziuj5JPVLAE2EhCOMyAc75wqWDq5WMZFY
HJRHoGgDzxFOagGnu4Dgy3IFZydPlglmYw+TfIPQSouQipKYTNbkvIGBw50UAh+o8Q1CXTHCzKWb
bBb2zTUNmqQay4OSFBRt8cmC1sOpBpNhzOCok0ZjAicPPh2klO1wlQdW3kht4TBkwz8WZjlRgt0e
tvQGn8to4Rwpfj7RBkdC4qYTw77V1WGTEWg7WNWxuY0mGN/JoA2zpu3awUkLc1jbH8kNQF2PTV3+
D2ff1iQnjrT9i4gQEgi4haqiq7vdPtszviHGnhkBkjgIhJB+/ff0fjc7vON1BLF3jh2aEspUKvM5
xM7UI+AvwGZbEz2BSOQ/nFuZQ3i6iCErJhZfdPN/Lqjg9iX/fu7Rh/BccfC0Ex+XWnLxYZ+mO9H6
3D48Ypu2Jpe8V4mpwza3V9AT6SVSw49z730Izg7ky8XsEqzvdqpk4l90/quy83VV/+/IBRT0f2Ys
F6EfvE2ZqVu9pRA8yHj/ZubTXrqeWl+de/9DkKYg4g6gEptadeybapOv0SQ/nXr0EcG0A/GoeAZO
KqXQjdgW0IbiDWyGc08/RKmgYJ8aRvHiSfxVb9FQJtH05dyzDxVuCwKBNOCo1CntEncNzPqkHHLV
ynOHdHaI06QVIre5wpbco/edpp/AmfkFCvo1YP5l12SHGFVdOuPCjEc3vni/ku5tw/ipMVScHWJU
5b7R8+ZNzRpN6yin6/tYuO4U0hcMgn9ud5ptJN067MSGBF96M9csOQkYi7NDmOq9iVawmk09bGCK
ki27zU6c6w7HRyzUahJrkwJLjvT4tHn6pNL9ZAwdwrNwQtl+FqbOGjGUWfBPhenOzc1wzv9zxQvs
ErJTaep43N6xeH42ZD333kf0kukwneAumuuF51+72LxXcj51iYuPyKVmT7QUU29qjpUBCVxAcsTr
/Fw+PCJ6VtbPUT8WM+Y27VwZKt/bqDhXgh7hPITgngWRgbkWHdN96dCouFoS8ZMLcwjPHoSqsPUe
cVN4XeWW8w+qI+HkFz2E59anvAHWbq5DYWgVL8kLTtJz03MInfxzJ9poyCEKMGK7jEUC3tiQe7m0
ZV6A93UqpaeHwzQD2x6ARTPVWbJ+7MTy3sn147lHH2JUNN4xpcRcZ0PxbRhBIm8h8lieejg/vDdg
xaQQ4L/WQrQuqwY0/cBvT+Zz84/4CDXy0trcaGhQ5NEi52pzk/7bFpk7edk9go1iTUniimiqTeuX
ixa8L/Fl09up1TmCjbIM6g3Q05lqqzitCAcenuHWfm7tj2CjVQF9t0Dipl6STKxlHKiEaNM+iJPP
P1QBe2e4cTvWZmz7sexW/XmHaNC5lTmWAXR0Osos1n3IoR+wkOXm1Ng+nHv6IdVsbGN+UmAw900a
vpKxEQ9Jlk/y5MIccg1Dfk+hfzHVxdDMyy2zOQNfvhn5fPIP0H/mGwwR5ThMG1aeQZvLmPxzC2b8
uV7AEWg0o2WeR1ZD1sX0+bcMQ4UHK/V2bumPQKOVRLsPUCiqseOLkgP6UkY+yq6nPmxyqHyNjzCj
V3h6unlIOMTToxx+hWL6D3T7X0rTI8xo7nZAfXOQjjcuRVNiWtwjaLNul5XQhZAPevLuo9WLurOF
Rbxe23ZOP4Hils3vIOW1mI9FpvmDxFxyfOjlkEBrCspZzYvY5xzCZiHpZ/PZzTSyoAHPg/xjbCF7
VXEUliCLp+i1X7PJ7vaiYnTJIG9A1/1u5yjva5rtbXJvxt75KiboJvwWAR3rbzHrl+zCsh3PhFzL
Gm5iLqAeRBQN9qYp3cNl2aCE9W3PkqR5tyY86r8vcTrPdR5osdVmx++9TGtIrz3U4/JqyGgsK+4z
YR9EPIrimecDeGFkDvQjzQtXbpSb+9QtJtRkLHJ/c1ptyWUziUivW+YStLBVuyWVUJMeUc8Wha9y
07Gs1GNn4ic3QBfnrli8JnXAajuw9uV2DyHSL2bYIL6XkG0LZd+YJnxUcT9m56qQI7TGaLFt2wQJ
OpkL+8Xkc0APFbo35yL3CK6Zhw7iJ6EY6wK9vDKl/XMbxDnOTXzE1hCsHOQPp7H249Toy0hcX+8z
6U4Wl0d0TTx0cYhYP9Vc6HS/0mWw0J2JUjlfToXvEWGz6tk10Pcaa8wH/oY8yWMaLefA6DE7JOXJ
QnsH8niQDICCRVKuC2QSKlb09O9z737IyVs6B7ZZOtVqLkIOkceZYbSZU3puBB4fcYivEjxcWjbW
PG1H9COjkgpWnNuXyeFEZEnjccVRU91yDblD+bHJunMRlRwWfsOMcFcU753apl4K9dik8cmj6rDm
KfQSfIzeZg1m+142USHLQsXjyTU51K5Q7GBcYpxcC9r35S7nv3lvzl1HkkPR3YN4vQ0ZGWvr7fQC
6mD3MLJVnztkj+jDlnfEDpQvtTAyeU5wswKvw66/n9vph3Vx06BisgsUCHCCKG3m+mvXdScLhCPe
a8pc0weBIxwzGghm2BgiGpEj59puR7CXI6BKp90wguiq1COH4OqrOo3h5zDyEPb+Z2W29IMAkGnE
Zh9s9tgOjHzDndafawW/irv/9xAo2/Uc9IK6D62s/Q5VUltnZM3OZV96qOcpU7boXnNA32lRLQ56
dHbV+lw0HSFfsYl3u+OeXEdQOP2rBdr8r6CtPof8jOkhgUEAeOjbXkKUiGdbdJcFlHtJ41z6i9nh
T3h18RH4Bbpp03AFwTwoozLzaZLdNlZNNtDp4pYx+gTC2UsUFaq/oIqDZpcocKm7tdDgGs99/fjw
E10GY5BBm6HuzB59171jP0yE4DsV1fSQS8EChmphj+rW+bnNq0j3kLd4FUJU5y67R/gZJyygifF6
ADdr3DxBKBnMMD/7lVTnfsEhpwZiDfi0EHqGQUgny9310EDrZbKdPCSPIDS+BKw+tKtqbylA0cF+
BTfgx6mXP2LQ1Kr9Wtgw1JMZlmoX7O+wpmdf/JA3xBwgtCozXaNyvikqHyldzl3Ujwg0HUVEOOiT
1JBtWioZJRhkuPDh3KIcugBrq4yI3TZAHdbkV9tSSHOm3cmK8AgUg3LcMCZDrGsU/S/ZFp7ULM5N
MY44MbFjzsjNONTLTtvHWJkcQsSjO3eIHaFiDnrm+SaZrpnMR1H2UMl7bDM7tOcC6QgYS4p9ZBya
b3WWDn01F/mDTGJ/7hw4QsbMNAjRFN1QF0nrnhejkypb++39/94xrzvjX+7oR9xY4aTfHDTBahWS
GYUVWUQBWbd4HK8ctfNwrtg/Yshyz5ucMzHWxLJ1Ktt07V83PynGc2fxq6T+f5/0OuqWeSs67M2U
frQr+QCxvHOJnhyCCuIS66tK4AjabApJTINWfrDxcPLzHg6pAZsxkkAFXuPMNB82H00fhzY9x2aK
jzAy1Q2xJXRRr1kyfz9pltZrl+YnF/1wBE7oLpBGDwrDcHQlxjl/HyWiO7kwh6rZ+nXw1ncKCAFI
OFUgH86/B1WM28nnH04/CNI0zbQaVQeTfUfv6I3O2q//O6hev93/DSpyRJMlG8G0GgxBED/Hpody
q93+cgwqdecef6iZO/QRhrZ5XfYpb9BwXPI7tPnsqe1OjoCykfZ2DwYvD81ctJ1iOpVQOTl3hpAj
pKzgIfPpgv5b7NbYX4YOeISqH4Z+O3XFJUdIWb65ZkJlq2oIJftLLgh5N4LP9+Hc0h+i1fMOfQQ3
RxcRi3187ElMXiidUvuLt4//PR+TYx7Les/4Br2fm86LNgPDbvCudDH+95ePV/4lGYcC/zIk8cDr
buo/9aH7FFvF0odm6Wz7vTCivQLA/ee+MbC7yjUL668GJP9pXP3bxj60JnjC6M65xcbmNtVv5zge
7EMnt9nccE209JYWCYeMaKr28TnyuLM8Qyt31r/TmCU3y2m4Z0nkoQYcGgv9BB9J+VYP6U4rPc++
q4Jom/B9bKAlfBsmVARwE+n3H0wnydM29euj79rtxhoLOfAAhY62JLpLwqcWQt79e/mqovFp6HIo
7eI6CZFnoo2rWgJc6ksPgexwwf976d4w2ozbqUKUQK/wHycPUJczfaVLX0UT9y9bIYtn2lFx7vgn
xSENjpFMR/RuZU138hen8/siFu/ObeZDBsRN2OuIO1mzABSwosmdjsuvZD5eD95/2SpHwJ61kRZh
2WU9QzGY3c0SlIMKOjAZF4cbhrjzgkNK9tQvyQ8ZMZ6LlCdbKutoivg1kU7dwqTE53NPP9wGWt9Y
3GCZhBFD0l6iJnyFFcuv1uknAX+E8MVEdFYaK2uubPcRmO/kbd6K/Y+9j6NfdLd+9ide//2/+Ayk
KTJBp1lel51JfoGwtpm7cjMYBdw7B77dL678P/vkh+QI8ISArLcSV1iDSnmzKcRYXR+pa6dDTivg
zc/1vMgR4icg2ath74BFG2gEGB7/ikR08njNDwEdQVIEbYpB1jHm+ytzt5XFvzg+fvYlDsGcMSBN
AxjCFynmbL0XaklvY15gus/Fpsgp7APJD3Gd4tkcljARhDggcwgmvvitmLNzxFv4Iv5zN8EwYe46
b/o6y2A9A0R4Dgnl+NxVihx1yrYOjVJm47bukjy5TZvXl7zoTt0ySXYIZMKnWKlMNZd46x5Jw8pk
5OfW/Ijw84yoZVzx6BASKI7PN93RU7dXSOb+c8E9ZNq6pZDNRXb0KUsjeGyc6zGSI8IPoEcsEu+a
y9S7+bFflrWOUvbxVNo8AvyaNGs3zyJs9lgs12kysBIoVHI79/RDlJJCmiYlUVdn3TI9AZP7dYYV
xsmHH+JU8ExEG7VdrTxVN1uswwOZ1TmgLDlKnUV+x9hRm67u+n6+TG3+HGVmuZ5alyPIb+/JbBc2
FpdVJ91+o9R9noyU55qS5Aj0a6FEPqtkKC7DNr9INda9Gc8d4kegn2/3XWiBQkqt8OAY7ECqoNJf
ZN6fXMmOOL8N3IEA/iGCaNlGKMibauLQOz635ocIDZAzW7Z16sCpgu7/IKZxLhszFOfgcuQo3FVo
D0aITAvQwMZAyxzGP0/jDtu5U/0rcpTusnyA0dnMiot2AXO798Ao/GJl/tNr/5cy8Ij0S3gAUWQQ
bR37iG1PpNMp6E8CSqOfoIU01l1aBNgfwAcgvXL0/lw1rzLdoN85cX+D7QWBgcQUC/qHzlK61U3O
uuzUfIAcMYIhbd28wuMQljdcVVDqhQJG0pxTeSBHdSNVrCywPF2uXbabW9qs0FOO5LnhNjmCjpij
LCi5LlfmdAuEyfoJdNL9F1/tJ8FyxBxZN0MiKPPL1WcwVZREGhiRncx+R8hRKuGvxmasetCQp3Cr
/5uY9hx3ihzhk3sEQwRC19f7uVnFvWMkt9d2kctwORfqh9pq6GD+lMdtdtlNy3Hm+N4OVQsDXXbu
OnkEUJpV2rA1k73asYVXY564y1Qkp4YP5IifRBWesolpe41fxdpcOkMaIMlOAfohNvrPOmXKtmRp
Vjx8sxALV0syw2KL/qr38JM9mb5eOv7rEpO08Mbq7GCvtI+nism4L9EC+37qqx6V2kbYhcDjslmv
G4WdRR5FYAzuCTlXTRwVLwXAzSSJ2HodAeUqR2nEi8rY+uXcu7PDwrhpYjGf12tUYBCWSLgkdj49
uTD0nw/vjItHTP7XK0RR6btB7/I7JyE7V9keAYJRgGFko5i9CnB74A7UthWC9xy0gBzxPwEkjabb
UFhlE/2+aPZRw6/wZIZ83aX/tRtbjYb3OCX22hFDyn2izbVpAPL735/0J9fEIwJIwcuHypHlN96o
dHvXWt3pm+dUmVtiJpyC//vP/CSkksPHbTbWJHGPH5HSPIJlTCoq2DSeQwOR5FBDT22TrSvH04UY
ugtMGgFOGf2f5179kIZlj8MbaEtznfbJVzDy7C+Lbs5lySMaqJgSsuo0NddN2u2m25yWkFcO59Lk
ETDpNeM8GGeuaxvULV7k5xD36blPeoRLhlYnYUSv5zrlbQafx72vAJg9B+4nR7zkkPlszfJmukY6
MhWcS4eSTf6crhQ5oiWbJFEmhv3ltVvnFhZuWlU5dPUvp3bMESppY4+WsxH5re+H8CmQaf/Sk+FX
Qvc/CaUjWLJhzsUWUOpramKwZV5Pp4nGv+oR/uzph0CF/w7a1b4obkmE1vkW/RjV8OncshyiVMY0
htXnnN2gQtaocgsA8a4wBP3t3OMPcRqrkY2BmOKWTnoACLPfefvMYzXk52L1iE+bltyi5JuKW7HE
8G6lj/DWO3dsH6FpkAmbV0/xaJ2gWH3FUwzncLvkiEuDe0QH2zHYOodXYSbp4qSCNa47dzgdcWk9
Ue0a/JhcoBH2MJjpHeHntA7JEZSGWw4uNRremhzgjH6InhOY3Z7aKv8HkAaRo9awATbx3Oq4TiYF
VnjrtP187vmHOmmYYtgk2jG7JTBbh8B7siSPr0TCX6kdvpa5/3LTPeLBukhOCYz4+E3D3fphbbZN
vywZEeIKFm3W3OFQ7No3a2h+ebn+SVo4Cohxnwx6HBZ1JcVvffKJb+c2/hG2lSq27cuC57LuQw5M
VZeebDQcQVsjcM0FnLEzOO7uBEblxUbeLKaA1fP//sY/AR2So3YY6AJ0RdxmN9BmRDm3Y7c+wat0
BFp4MdNcO7r1oHbDO4q+2xe6DhUkWSM4r0b7+Cuh1Pj/24z92144ZNXM02bYetiZtrDWHPYKTqCK
wgVbIhmqW9vsUpXzqOFxVA5sRsm1994M2X1UE2/1Df2OXupSBbn5e9v4qPmDwbJ8qgcCQL4sWe+D
cyVqz2l+ljzOpzfb0riY3/coyWZZmqBE1JWEFR0TpVmzCfXpyBFRsHydR/HHZFptYZYss07fWZDQ
2b549FkycfHz5kwlPev3j9AddFtXphK+UNBX992+DGVc2IgnZeHhJyAf4kly+CVotJJXXYKMoixe
cMnG4fNENS4jfdbnf+tJ45+NnZMNFpoJdG8tVkhWcI+mXR283WHVJQlbhj9G9NIzW+4mJrEr05yL
9vehS2TxQwsLdyiwf8NoXt0ou97/9oq9fJiC9ns5QGlsqZzrllheMrBtm2vAJA2OlLTZl6rJkQCK
auPOpxrmuCElT3G+8eLWpRZOymM7w/Qe1hJDlfFp4296Yrv8QjrmWNVm8MQe9lznl1xDNbncZ8Hn
AaDffmzFZS1wZ88qNK52MeLN5sFkZQ7fSpCNtq5ukgzVPFI81/YRX2tsu9LkKLhhkxgpfbF6oN/m
VfOL82HPftgueHabzJjKl2Bozr+0M82yF7Y2jD2Hps2tuKgAYlNyK5yNIaMReGbVG9B6cnyvqesm
vJwgoRD2RiCFjSJZkzHIB8/Z7r7Pue5GOGZu6NHfM9DWik/xnu2Lr9SQwH5O5NGrdqiyanARqE8B
SD/ILmV2s1ePbzmOd5qiv0nvXA55W0ouixuX7VCNfHfaoCPio2V7Lfi35YnYRV6dwdHxwkdh+0/7
TsWrm68dqb31LF32ahRtQiEt3Hp1QXOozX/PVzaMT8Ue0D1rU2J3U7ppxYylLPI0oyhs15UxVhUp
Y/37WOaG36DKI/engboYwwayQpAvYPq/bgIcXeIXOKvqlkOZjyj7naoIRCuzZcn0MUt1nF/aBg6h
33ElzRWCRifjdllgTL28SEsE/wRM36xvvc/ALStGMqaPIY2ofI5bJ8Of3aBGC5qVicbkZUbQttdh
aj29Tzru569tpHNCcepIwdMy00kxvZB1lfH3pG+a3JeNKLSondu29JGYLhl/g5ErvOphNkAgYSAc
iwvogadc/WhWBzPYEoav+feU8Xn6CkmC0FYY+qGkAAVj9G8Afl5y/Mfw0/0x9mYLdw3/Wv9JBhLH
1dQikn70Cbb5g5A0vKwFETdC57x/mxub8SvJu6n9MMNoPLxz4F5QuHlSiE3kMGBH0NwXtw7D3xID
tfap5zPz9Qgr7KaeaRGbJzsXGa36hCX095zTpPgzdrJ5ge5A9IjpXvgB1omGl2cqLgKqUtFl70Lu
HmE8soUHKE6x31TRJXDIVaCZvs98q4aXWDRdfHdjZ/01mtt+fyi8IbzO+C7JV8Ib2Xxo50JM1eTX
CEKaPSkW8Fs0h/vjFhb4rS8krOTOJj6pz3B7aca3Ni2y9kZaOWaXde835E6X5qa9AXQfmzdzsfEf
CkIS8KBH28+9bXcCs+imHXd35em4GnEhGCJuT7KHKvatEXYC8yXKNvGpzZciuetpmni5NpHh39u2
6KdKDItc+zIf4obAsCph+31RGp6tq6MkuqzLQONyUMFNv7O1wBtcUiJiaGDueIsuEouBa2+0DNfh
VcephApikC+zA5vxmk7GfaPEO9gD49YNMVd4cPA3qGLFXw1COKt61VJdce3S8St8tNMUqlhaQyev
ZDKE7g5HbuM+eZgamqZs5zXbke/D5Max7FdUT67EIGJbfji7sfQLvE8MDgQJiaPig8JTXj/ktFpz
TQuOAfR1cFSnJYi3Q1qrIi7kdYPZtfKliNc8PLl9EWj97rAjKx5I41G6g/7YtvcF1nxRGUzXRR95
Kg29tAm30WWBLW1xyXwI/RdDAusftjW4orZ6jJrL7Gjjnxkc396ReOm7j2i/Uy/LTqm1uMFqQKyP
hcTF8sWjrZXfEtnhvFubJp0B30/a/VkL0stqDCZeq2QyWQSyi1mazoFyGZb4w0qkBoNnSNb1XbeT
jD6MmOT3LyPkEbu53HwC1yWI0ZezM0V8j1mxrG/TZY6GP2i35+qZK7Zgjw2tVu2fTOUBO0FD52+5
jiLvtht+2d5fUy2T5TOXW9s8LqLr2R0MZq7eWENh1HZFOlL8An8t1vwVoK8NIfyl7dOHZeyEAGQd
5CjskRziW49tv/rpYeo1AxScAhpOrssEq8xyW/1AP+Jv5l9gw73u3xScBiAIUNB2TKoZmp2iipCf
GjjQT/vHnvKVPeTFBKZeOgxAOMN7N48qP9kVPoQG7uNgHW1ZXGHOk7fv8Lpp+nZ3Hm6+0UATDPS6
Rkb2E0yMx+EReO82oCoawv4Dp8YySAjrEhK/fx2gMVKxds7Cm0CKRC/IxME397zHp4c6MYdL3bND
Qp7fwnZkMXeytsX6sK+8gDc4kkELIQmBZVyWci0Q5QQihyJYUc0d7Ojfs2JXRQn3u5zfskQjv5WS
ud68JWucz38Es0xJD6PwbU/vPmFkf0mw+9vf+mWH9w9+JBubtxJdSvchl1jEx0B7s18GZtP1Aed/
NAksLtXb1YUscwLF0zoGfEwjttvmZKQ/Z7Ff9bsNa7Y9zj2wxG/7rWu7KunbcfltnzKa/q4prOF1
uW9QN5+wUkyJPwcI7ZJ3sDpIij/GhBfy26xmSXHthYomq3RP++xBZ+viUb+1JOdjOUfW4yhUO44P
VHvQGeZRumWXBcoeI9zPZRZ9hxWBTyqCQ72/BzvLT5nF/r7CPFrxqtsDBlc6G5KvKQVcpWI+b/oK
LYIkg43mmNmaqizlGxyYiZ5fpnZuwVOPofmK8r5X4xumJxepkoM/+kc/zut+S+Mu2d7GAzEQbcb4
u/iU5INrb5uCRdG7mbbst3yBvc5lSRp0aPIuWvmLH6YGZb3pHX2LsSAbPiiZLeEp7od5RMJMEBtg
OwA/mNcSyrvmTaNVMe1VniTinQcgKap23untwxLcDBY9yNKwoIb2ZSOrDLbv01u5oPVXtlqo+co8
yNjqBoJtfM0bNgwXQxqKL9G1Kn6T2OnV/pcvr8VPDjxuK6oi31J60XYmsS1l2P3XPleQ2iqDBqHw
0wRqLvsiFj4+m8Gi4qpa0UdV3ENK0FfI7luZOc7Wr9RCc+JBcDfhvM92gjKdgfU9raVnSbTeO7wC
eW/HYc0qmvL5In1rh1ruCPXfU2LcdqOZVDGstQx08uKkY/mFKWDKy4XF4VbgMHJradKmX2D9nrTF
UGmuM/Usl8a/zf2ra24wgT0teS7JNYd10I5jFCXHxYQEad+pLRJ3yYd0/WRVE28fBmPjCnOOmX7z
qnFb1bg2eUC5BqtVCXLUiHFlafa+fWjXCaomCcj4OGxZFcJaTDC1j1D7wvKdPgjUA1+dztiTgP6W
LnnRz0vVxpQLCP0CzzqOSc8fcyf8nwkoY/0bitDRdeiXULyZI2reEQddYFyB2PoseE4Daqc4Me+2
aALWe92zikN74A1mMmD4w/GWQcIeDOE33uT08+gicZW057LUel+fNqmKt8LBduEisY2rdLeuom3T
PSRJUjxbLvyjiHf1zYut/1gwZaqO8PcqNfpz2hdDUQoyLUADWSXlXO6kK9xSClS7/uZhOegf+EbF
Fx7v0+Pa+7y4YDvzSgcb9ttg+vTRA1WafHZRnn0UyjFo+ePWmkUPjc42p8oGOzeHtoJvyZ/d2vj1
c5pyDiv4Tu85ELbx5vylexWRuCu/B2jt5Cb2E+yY53mhuMd0bOwvgm9x9LjFCYjSIMU78mjauCle
lmhf1tsGcQjyJXBFeVX4ZFufbDKl4hsqVz1f05VG9GHqpi557vdNwSFYDJsCaHky+Rdm1UTezsyy
6Qo5Hj9Ax2Lh7X2MtkL9HrUwoO6r1MMi/kKWvl1Lm3YoRYvVZl1lFGoUVzYsYkyVPvW2+7HnKZuf
t33cwne4gTmUQ+2ap9jdCrGVTmUPHlh/hfRSQ2uTq65/v8doyVzHIWH6tmbIOxfcaER2n19Rkdc5
05S9BVeqT58Aa2bxJS72tLjHYMPtf3dA8Ou3dlnziVS+EFv7uMwLI7yEmkuOEWfoqfLvcTXOKG7B
QNKGJ7ROFuSFdshc/GbSCMmPEpdV97tMZXFPRuAM2KJd9nu8MBl90xiS4pq8jymcMzEbaCvsDhRL
ZWM3ZPfF2P2yaWHyrxxCEOuX3CG3/7Ysc0H7S5rNEc6rZkij7SN3oUfbI6I0Y+W6NkZXRcMUfVlC
vvu/E2hEqD9NB5LiNe9hP/nBq3YvoFKRjuYdjMFTuV+HDZLAddFFdHzHEWXIiISZOUd6avcMPdx2
QJfloWekdQ9MtpLoSxIMSoBScc4FvANG3D9Q8fVz5bfptRaB98/q3verMcLVhRTSfFFLNG63sY/W
4r4shU3xxULhzGWmat++ySIFZZO3sli+rU7O6BUJoqOqkDZ+6mbR8GrGMHt99n2fCHySrAODdMHw
ozLTNqMonTm0fL7YkBQ55B3m5nkUFP2fZs8/zIx6YOLXNITprVdKlQYeryW4fsIyGLvl/XjzLk99
JWCLa++BLbigtYUFHn91YzSVq13d8j6LXdb+vcEPJ78GSUh74e71XC3FAmOSh8B1+t3DXbHrSzZG
RfMID++EJ9WiQh+hHvUkqveAHVzjxI+zxxXJvv+jCF17wRmfNG9HuphrF83BApgSNdEd9S1bK4L2
7lJG+To3FTS52Ge2rYAFbq4V071oX08MrNYaQxJ4HLsKJ9Kkv6SYrJBb37bDepmitHPXbQf7BZe+
CC2+kLVx95L3juDC3Hn5Ani+vaum4wMisrGPI0Gj401BxUrvtlnVtxzFinsZpFse1zkbVHvJvd+r
NEXiQCtGNN+gldJ3l//H2Zc1ya2bWf4Vh9/pJgkCICfajhguuWftKpX0wihJJS4gAXABCfDXz8lr
d7etmWtPOMIP1q2qXEngw1mrHmtn047iOs8+BrgN4TXrseNxnenNocwGliH/0PCRdNdhJlN3HUsz
nY3Wqn0PRxuLQsVifMGhkxS9R2A0wuth8dFtHE1wnY3WV4oEm48xZD7K7JHZ0uAixpyRdivvdwRV
5SYbMN6rLAbfvKCTMLYA3bFuTtkwjDbrDE6MGGx0YjPYpFyVBjUu3sGJsMs09EtQTiOUJryqRM6A
V2ZvS/oTXxdav9l1GbbLFlnXfkI2jAovPWtMM2UzWXRzVjHUTcjdszb3WQuIsVyi+xDdkfmiuG2R
elGicllin+ePQU1weC0nHI1Shs7B09aWnoXqc+i2XIAJplVaznCefS8l+lyOocDonJZIFok/1AwQ
AnsWZn50Ilofsp1txvJ29eJEzc/gjMLxsiIroLsfV/SM3kUGUUhZHI96ve9B6X2LNukhzqyic/25
VhUMaWLWuoOarY9e+jCZmxStu3W6CvSQ4MSMzkKsfYv+XDc4IwKRm3ZiMi5IsUbYskk3IHc0F5zV
dXd2K8cxM4WHK/iKAVuSTOEgutw7XW3ro68Hj7+t5SDNvVmapDnFdVL1TdGbUjTHpaptUGO9DelP
sWKa/CpctWLA3hKNJGqhhu0TcNYeep8FB/LephZ7+Xiw7bTizg6H15DUZAemIjgjwAAbSUwRI57K
lRn+CffD2hVJPddI14kDaS9rbKT4svY4wKbjCIztGnghkx+6TRKRC1WO4YsXbv1y53ycSu5KhRa1
xxgAVPjbsdvc6YkQ+ZPKKeEHG1Sdn0URwqgv2MgqbNaVpeGal4zbWGfooYJ4NdsCCK6eFyQH+SeG
FCT/jAuLi5NhJNKoxfOtvCYacFTKNFmRJa7r8cOnpKnvwq2U0LCVvpAHhLp74QM8hZypDA1J2wr2
QTq9Wwky3nYQ5eg+A3hMzTe59pOH8sBtjo9eh1Pjm9/1A0Z3hvkuD8ZEtzBqYs7s7wxgEpFB3T9P
JkVgThCefRZSzNB09uShAcu/fFtDl0x4V6yc92vVxGs+Uq1F0RESD3mItpZZpMPYu3qHobdLzmWE
iC9I/7pbdRaaxFTe1k1iT+UMWXgGl0KV0BwpBf6EzPGyB5sKIk5VJ7ZYsmFpnnV0wDqpwBUP2MJS
wE2BSGGm3Np86KXpdpE1wfDBGyo6DyNSEM0EfapImvmpRd/BTSTAz8xTtvTYDqPM68Zkz0IdOnsU
QUziV+Qp9/Plds1ZjTfeRG2UtYEl6p7yprOfPbybxEvrYCbK7G5Jz5i7l3hbojtzOyicS08Jiz0G
ak2EL7myqu5dH0yYyUZDmL/gTIajOc8AKVMM5f7UJ/J747BkQ4bkeO9/jPPiDTsTcIq5ELc5YHM0
uajxNCXKxPe0bpcKO2Lcbj9EDdD1a9uuSuyiKpLeik9XE4meYjY2jxGmGmwNYcIjutNY2oePWkd0
jdMZ8enubuWRiV8CwBANqlEAc84wk0VGvGrPKO9BVcC1H5fbPA6/vYu7MOPLgMxfmLb02B3rHvA+
LpJIk93IMd+xAh2DZjjDHVfRNdsAlSsM9M3IG577lM3xedUAzC8YImJ2ESaKpmfZtWI88Yqs6ugZ
9Ih/BetS+hkIIwZLieo9k3Y8XL2L8pGP8+iZyTRv3obOvizBACALZ/p4vGumGTaLnvp8edk6qK+y
2J+AZTekk4hfGStv/h6zSZcvZJ3qLJTI/m+X7eRtqLYecV5SdXdcdUVcijGjBVjB7WwOTsmEHEaA
ieu+E2zzXwGeUHpqBAiPTPs96OcCXlt/jG97+IYj/A048HbDGIYmI6xvvRT33JXpyUWgVCjCHXZ+
AGHvsGu8ALA2k0CyXdqhfixO3WA1zcea0+gwW5NsBx1Zz5eIOwtXkwC6qNAjpkwStBcajNP0Sick
jn/wKjL9xQcEyHcdrU3yvK5AoPOuitsK3jjIoR4aKTt2LqtOiuc1xgdzdmEsppNvUDdzXfBaQ7R9
u40+tIb31cm2YOo+YZ5tyiXzDXPNkLcq7oHORcgva/zM4GbWXobkCuZ0DrqDx8lOQDp6i/flXxDI
6U9BliQIWeyLHoj3ZI68X0d8sDNv9fhgR3xooIZwJaDwO+SJeyb42GHtSWgttk8AiUu7W3An75Jt
4xecFZh3Dr0yAbPFfCS7hTe2Ig73fsuY3ouWD/SydQqu5CB0av6yNiZB5IIwCL7YzShCdnUarIxy
UDkhJD/+MMVLxnB+m772SxSHDwqRBFO4u8WgBji6WYri83jckqXNkn5dRe768da2Nk/sjo5lJI8R
XK7rYZDakLxanJaXcEKGC5AgH7SSciM3uwZYZZB6UxB4O1Axc5N3cZVgutbDpHnKSN+Qd8vRsH4u
t6q1T4griGZAjHU5bj+IpKT6poXyu6NPYLQ7+gC3hisc9eP80iGuuf6kJI3sJYi8yf10A231xbnK
m4Bj2DDOMMEAHAeMZgAhN9MEqdkwR1fj99OazQ6lmscRL6HNzRaGIoMym4EajKKbEnCJdwlEmHfd
ggbvT/4qquk6zlsgTxyVcJgL8A5LKO2T2aE1feJR+w1ohkfylsaenhAIikEsmySu9r4A9i4ADmAh
vZ1m1ts8knjjQjLnecGImyUeRoj1Nb19gonGqbxK/ZEm9xNfOg9W/IY3P8xtf/zBDaIF4LOm1XFQ
CUYRH+td90zGMZxx71W0H+ZUxxMcxzhJo0SJ137j5ySkHsQdpBrKu7Dm87rDMoqcwKWTzfIxt1bb
i9p4Tz9jGGCRTduhNSfn+GY/x7zXyz127YocJowraY+oliFFUU51wwS1XbDngqd5wHCc8NNUQ+d+
Bzy4hxkc1QAbTvCDwOGcotQxovM7bJNDnMLWEq6FZVoAnBiH+glscFDly4Ly9KcWujrsi+ifQK5h
ssRl8so1fKM6kz5g+2Uvy3FQc9rAbRalKgZdSjJQfKP5wHm5AkaFc6k/v+NQtjVeymYQxm1KscrO
gEo6Ba9BigB3vVY7C3MiinOkjVj9Bf5eZ8bUrCh4GfY9jhxNm60DsrXXE87Dlgb5SGow1vk/5/LZ
/1tP8WtQSgXg0TbeyHcKxY5d3kBufYVSaciwPQNUB8Ic/wvT9e8oN37zYv+dmHMcJjdFhLAd3McD
f56dKk2uK4w1sKpi8s98OOE7DCHWyX8hVPgd6cav0UQtxChYPEK6YzHqCWYkcBQDEJR/8YZ+79F/
kbpolJtNvE4o+ND+mxiD1zXW5b/Qpv7eY/+iRcNUNvS6KunOoQEhrUd3bOA+/zcf/BfdxBwEs1SG
0R2QlQL0QJOWAc7T//yC+r1X/osWrbRLM9OkYbvK9yYs4UuJcx4W+3/r0X+NaQmFJuC88bngZICY
0jlB4d6mnv/5g//OFfprSgsbg37VtsXlUvMk/DHJpl8zn7kQFStx2OtUG0g/D5DfU/1vNZXBB/iL
wjmuVo74CrpDMyT9HA3jdNcGQAN+e0P/8d3+r+pDPfxVCzP95T/x7+9Ku7Gp6vmXf/7lRfX433/e
/ua/f+cf/+Iv+w91995/TL/+0j/8DR73b8+bv8/v//CPAoPO7B7Nx+iePibTzb89Pl7h7Tf/f3/4
h4/fHuXF6Y8///H9R9/IHFPk2Hyf//i3Hx1//PmPAb1Z7v7j75/gbz+9vYM///F/yx/1+P6Hh/H9
x8dU/99/+fE+zX/+Yxz9iTNwzzShYQCn600lvH7cfsIZfoKDHUPpUBzhl7BeSvQs1njq5E8BYzEH
g4+U4ZtPdFLmtx+Ef2IhwRkKD8eiENfmf728f/iG/ucb+4M0/YNq5DzhUW/3yf+Imnh0ewqUB6Ak
Cyf4mP4aa/9rv3dt4vhl457UOVUJu0d3UTzlXoCBVvpW7SCmbmHpQwnT331sf3tdf/86bqDlL68E
LwMTZMIJJREj8a+5S+iPYI3nkrBQiOt6FbEzOH8mJRADVGyg8Sm5IK0i3XDV9qUCQanMIe4Srwha
Sw/4T83OC4TaK1H3X2kNlYUE9oVTLYQUiC4v6YM/g3lEr2iYQ31r7uq2ASXRDlQUEUbNx3rCgNIg
/uEY4/STeYO3zYgi68rCG8WaE8pdISvwK8Dk1jdk8KHGaWZUFm3skjMD4OrSJIQMqsXvuxRMbnAc
S2bfFTjTzLTRHUYw7wDtPO3SbZrJOwSY3ZUSGABT+DCRJovgrLNlc9YwZ78RMm8/AjHSlwQXwR5K
quU0A6F7aEBEtWlbiwbg5Kq+QcU9HQ1bxvs6moOTr4IwZ1AV7VgSzQ8VI2UeydAVfktOndIHbMTg
qcF2fALD3Q04akP1HWE9eAtMmUD044efasS+7wxGlmMrSZluCwkvQ115O/yKv7e8ZLla6/EwRX5y
qTyyHpf4NjO4bofeKJejls6codxocHSOqkKvgy64gRECAKYkO8dXWpRz5GAWYfMLBaiZJ40iOa+G
+hk6JfrGt7hE9AkwUwI12kFPZMNbGx424VzaM2+9Vr1oXwwy2D+vKzDlFvP6IYwiPx1V2BQDSh8z
so3Lj6Fv44L1Qj5G6EDALsQ8c0VU/nhqKhLlAQt3EPZdo3o4xNI7x0ONXcV6ECD5/B79zrVLfVEF
2eY3+xDirtSjIy24kMleIKYznSZ2Ox+57sBqL5flJrIJs/DEpgekQLC0qzFEcgPXGsRUzYEsyJ1A
VhHoVSHmt6ZFKYCcZoWTdzVnTnreN74NtogXiUIiCsnILdcrbXBZ7VDfJAoNvuH2/9iPapyTPdCM
6vMG2galiMHirlW0gj6pVfDoWxI8mH6x9772tmzA+TxfN2iUgUvcQ0cBsqU3215X8/zYdZTtuy7a
HqO5BOOyeU0Gc4OCxG5rHoRr5D0o1qogYUMLUJ7sCBVblNF6AJEo/TBDxaE+KPiXXjtJCL5NPkD4
IiCcSvqfBGh2EaxJ/wL1HIAMnClyPAYCYeqBHRYLP4YFCX1UdI73UlZhQaRLkELV8yrrvSQpxsqP
Mwv5Qj5WpDmMqMAuROV8i5g25eMYEo90ZwjocCwRDPfahHAMT1twJ7J3/aHFXHNyNS9TQyy7h7qF
PC0W+66c7qzetn2yKHqNVeT2bSeXPFpYcK3i+j7BIlOEcXTvmz7rakgjKl+a8xKQ5rtTY/2zr6zJ
kg7q0wBBOBcHwu1+42R4q7DqH0CZsdOIUO2rXKP5uMmF7jzY9O8nvOxsABz/VIHLeg913JxYO9PD
vBrzfYy64clbghjguhq/hoNpAVq0JWARBouoBp4gUxpVTBzjiGaYJka4lLkxbk+3oV9z8NG9Syc9
mB0qctcdnZJY3yE8fJU5nBPt1QAPyevRa3dthQNarWLwLGimrbMAesc5DwefwLNhFoLyBLKyfGnK
V3DW5X0EueEGtjpRYQrmHN9zAqEuVA5BbB7BNLEuDf1pfJ0GvWUiKKt7No/9CZvfci0JuFKsaW4/
OSNPq+vrLzqQy5LF1Yj7ul6g0rEkEYh8WWWVhaDvyKXWgp5uAe1RQXTy4aBQrI5ayqFYzSxPMaQM
bxFqRw9bqyDpWZDzkUqgpnt0p0MSkkDq8rNRwumiRI39Tz7FE7D7bX7rIX89oLnsXtbe58Gu00F6
fgAhJ2R9MeayLdVdkPSpY8mM+3+LvnRcMCT315V6g+u/g5bH4Qn8lR/LFVHjru/lsQ7Ltcv/KlQF
rdM9QFS4BPu+BAd5ZK1bkovuIdD5gHxjMk9B20fPsJkTu5u1p98n3ArvZRnKV+Dq3hXaVFmnpRoN
bqERz9YnG2IAWogTsUmV0Wu1LG+iT7wzoHBbnn0UaWYM7CHL6Awc56+aV+Q8kROgPfL0V+ErUroA
/DWO/QxcSJ+wFSJ4bOVt1z7O06SOoFabZ4PT1HMdQM+bo2EopHdLnww/qx6UaVE3nH2WgyXfwa65
I+gFunfoNzwzt8QfCRrOo7QM/fbgxQG9lG0EusEb1uEZaWrsKlE7nyLIgO+XYIjSaPIG9iRKNnzp
IzY8oSVIPjukSB1gS1h21VThdKUhPmBpEsX2SraSHCLaVAWf2nn3m9F7Xlb+OtV+F99PyHxpT4t4
8nCkPkNJM6URtJqFD7xfZy1s6P5nhS6mLyttDfxgugEF13doZS4aZehX5teDvG+BRKtibuTWphOk
R0UXeOOUohYgeAwkUVhuveqxXun61o06+ES8lTyrOehPSYAomJBYdV92XvVJsgQcOcxhgLUWPMRu
NGsLMHxc8s42K4Sg4XxGYxdAzyT2HqlDDm2A4IdMrpsC4m3DHZgAz2Ug4pZPow1km4t2AHbMpLB3
DvU4c7GBfyPpdsMkUMig7KENVpOvVXUsJ2W/1dxbczW6+nMV9tOVk6rPvLoOMtlHJFvwAWdQPR/C
HlyZl9gYCLDd7g1qVPJxSCaYdMHYYhaL99ZCd4hFFTJypD6WarZnDQ4rgsR9NeGBT2BBT5Nq6xPG
GQjRQxAECDUr2QuEiDUkPBr7+z5pefCAzPUNmkckoIhNsQn1lWR8wl/taOuaPahy1Dn0VOYM1bxn
VH65olau6nM5jdObLtmWli11IPdDZNdAk4XtiEAbOFAvVQFH6J3aqvtlc3Q3R7hGo3qMLwxy07Sp
RmjYolRHH7V/tKN8A974jpCTtCXIh+Vv47KSMAMmBooE+sxvmC/Vbg6oBhBk3fLZq93w0EEHUBCQ
eSLvIhbf3WDybe+ApsLAKJI9EgKgxhBJd2taiQ5tVbE9RSFBjrg3BG5A4FdnMQWKH5heF7b0A/cw
WT9UJ6U2emVJD7sorb0xXUjXnhuRiJfFoEY9BDCNkg9UbbQQOT8sNQpGi1Yr97GEfcezSq3t53hO
ylx6FLQtBIecZC2QXJ2tAVF9ofo4hNJQTn5bpkiSx1b7m3wceFqTtY1eoYst++pA7RodwQfqHRtG
eZHc+HftyocQ8614taom4WmpFi9v14CXaHsuh+7Qxq28xGEMpDfY6AFvec1umpTDQpbgm5kq8hCt
4YS5enL+M1abGroqNGnrvLaIr0GFZ9Ev5XISKNcYRbwjUEAVGHqQRV/K6rJSOqWh6bz3bS1nlIiy
2TvFbfuOzoEE6hRee6nbwu7DSF7dC6yK2P3nHipwQF9gwF3pchH58or6EUxvqNh81ZDyPGCDG87K
X6NzknjA8SPo2SPg1lDoqvInhVixEAHh95Y2IQZobhpIoSCShErWe/XYhjXE2bK0WaKlvxe6nwre
0eFpW1lUpnYOyd1Y+knWJJt9p9BXPzqs4vuw8nwgjRDv9oHsMtNNH+ON2GOVP+T81uLCKApXPLoF
OQ3Wu3LEUNCs5EzwDRWtE7xYmK9g0OBRwbDRpJ0e2qJvSn6F1rp+Dcx4N0DyuQPTNO076BAs3vU2
X0ZaiTO0jBwLSdiZA6QeGNyqOjz6qFC+UUxdFnXy3KnuEwv7D6+M7+clVqDba5ENVvi7ppbr0Wti
7EzIgFWcTykL5u2+G4b+O9oGzb3C9AVOqqzQ9SHqAyCy9cSDbwKpAvM8RztBBCA56w7Ei2qcpbY1
d7XrdwE2JIgvK1e3oFWrA4h4l5UhLPf10Tb0VDsG7V11FlvDrhWvgrOMoU4RLbw12aapvtXEQCVo
+x8xwtyDdFrWF6QGYoiWlcpY7DQ6W0STAzUSj5XDRFuOVXSOZxM9RkEfnxZfL8UctNAoezF8H7jb
z8bdRNREjQFGUOnfLkOacYdLw7Njl6MH7VBCObOHROgERekeupo8iOs9mCtc0y5bJe1yTB3NCRxo
i4q61p7HkPq5Y9ibwLwrcwx4H+xarwW9GVHA5b0YIyRR2UPUDIfBxwyxRUucUVQcpKjk6o7l1mP9
WxZ81aVWXlb3DgopyFbOdTUkbz7V0R5qwOAzRHFRhtK97qTtZvLAC6pr51FozddkOWxLG34FUUo+
M77pJ0zA7XGG6f5VyFIdUaXlPQWLoU9iGwTWSgpVVCTH+jLObX2tEc5f+BjavgfIkTzGgSZtGs3q
B9S/NPWi+WKH9gxbN82dX37zLfY+4rINiYiZabwXoPDgftzCUr0m08FzHT/a0CTXla3JM1Sqcy4h
zs5UgAF24ZIU0D/GUEzpi18j7T5oVM58yNxJhFOk3z+1ixWYE+T4DqAryiE2KTMISb3jRMIDCFzv
5JOmLySiS2GYmKcTT8QTBf9MY8nSMBrvVPh58O3VQDaJ7JddOLMvol7v5eoHB1gpnuOk3VVe/wTK
6FCK4LYtMYg64IvIMBp+Hqvkre8TmJOa9xHARtaNqIqpYgkGwJr+kECdn2KbkRdEHIa4jkd1TGJx
jmndQ1MdbWc2IrOV07g79CLeR06oTIBsP5S+vIn7u2qPzpVnnwBZjZ1cMjTO2nwDwyxwcSh29CkO
V4ASxXcStgqcLAf12ayS5a3BGgmDwqFWLcnp3Pl7OFbKnRK8PNuO9sifqKZDAh8R9D9Dyy9NhSqX
2PJ8A6V2RFpft2/4MTD1GS1xB9hI4VIPGvpJaz5f/IiTT00bQT09LnOCSALknu1F3wNMFaWLTRa3
hu62qdGv3pp0eUxwRNkYkNweOpBzrfzlGWrOB0F9EO0Uvw8CGpzSae6HD2nh/uiF8/q0in1wxCjt
9XWcDwBWd4CY9LGNIXUfiBU5CjLddQuhWmI89L8TvD8INo2YMw4i5M148XBcoLB4sEbSXQlHAgiV
JJ1QzVQsg/V3bJkzQ0ofa556I8zznxZIbXHCsYl77JGbggQnj427mYKnXNGtka6rj48eRCkY9TUp
Vg/ujRQo/qWHDCxnmq0XjjDVy0LUtWqQN7EFH/DW1ECY+SlJnq0vwI+QB6QlH/u5+QbF04eroDhJ
fa0wiIeD7VLKquEwBaPaYdv0EP7S2bwNPb9QXr/eGbHAFcC95oCd6yACegj4BPpjyVc/hikm6Q9x
rHBD8b7AbvvB1vDOkzTZT3w7UC84U1h3Usxau2FZvphwrcYMuZ/iOGA7eB4D392Rsv5iSLhlo/Je
SZPQ+7618zsC5/QBP0+lwNjCcYA4kgGnMYwo3rNNyFURhKS11s+40uwyhHCmtDR8wwJegfMd6Csh
fZB7v8X9uuC15wwqWhaP2QYfD2ZoKAJFBu73w/hTmC7YmtOEQysu0ISYup79FBw+tro59sJm9dq/
DJCJpwKShWZYYCLFBr5DYyIE9mTfSffm6TjC3eOJollLv0m7qIPCqmLTrouaa1vC8JcE88M6dhj1
INB5qCfyqQUhmXFLoKzpfMyLSCfe8SA0UII2O4tExSxqwg5QXhDdWYsM3bhbZC7GtsypZAVMYAXS
cNWY0WA5ReLiJf5Zr02D21E+mxai20WeymRKDs1k7tiW2DGfjElyo4L+pRqUfYN47dRuYH07HDjS
XtsDGzq7R25ZKIvOOnVsoO/ZeTCUHr2gDg9iCpaHYVuqr5VAmTvu0Hcc+V/I2GXrQ6hTiGt+cOBc
LyCQ1THA6HusgQwV0i4XDz6NVELNuvMtjw9R2LU4m5j7qgfcYozSryRo4fVqnanSxotJEWhYp6Cv
gwRUO30JORAzHBtKkFgbe4bPpcnQFGyvCmI7YJkhG46MtSYfPQsFXWIRotfLNEHEAL4ov4K1qmwK
DhtFkg6aNJ8WaqM7XGdFaNwFefTTpS2REKxaH6jXETLeuMDfThDWRtDW4aRYKOK7HM/Jv+utRKN1
sj4nZfvch6rec4UWJWikxKsngXwPdHww0CqlbeM3hYCpADmxHrJPsM9jTl48gK8ReNVOP0H1s8D2
sBQ3ASO4bG+Qx00LnQ3r+oWqxQI6GOsja6ro2vmhgISg9gARd0IPKeAbTMurJfGFI44e8il4VXlO
W/weXApLXktEqOGm+MEBdUEo5JDaw1r72E7VEOTihocnPocqDD4MEYbVZ/ihxGWKYcqRhFldTE0L
9Z5X3jw5pbPtfoU85ytsF/N+FgRxpZg0MVAJk/cRduQG6Q5tOiJix8O64OCNSChfqsvC3BkSYO8V
pgkon/TN4jR5QfCSUIpqBAhNBPylqm8vsBRXZ17q4IAiAv9seSVxdcp+q6HjY/yOE9ZApTINB/wJ
KfywmWGBJeFrk3T0iEzs4edUa4yOZTRd1hEHJukR/zGUtLr3mCL7oUZYKSTBGICQkxQgndZg5110
Ty/+Mucjhj8SJCEsU0ApLsl4KxDow+qE7MfwBQu/vIcIr94v1TBLSA/Q8wfdAhnAjvdw8HbIN4Yi
d9DY+viWuWhYALMNBkiYcmH9HjOsFynUXeJTGMRXA5cSwMxVPrSDYllgo48y8ck3nwSqhkqOlD/K
rulfMIZ8aRMKxZwYH0MzvYSJWFAICMDLQFyCfAcNZQ2fzhB74nKlAL5iJpeD9Tb5rmnDDzF8TBmY
Wr9Y1IyrCPBgXjmxPfhmgU7X7+CkRXMlYDO4mXBrRQDoGHxaPSISVNPqu1gQGCQGy9HLOH9aXA2x
Rjii3RkcPETksJyElN1BZto8QTAxfI3gGkYed8nXPaEmGjITkTrVFAebqnyB+TE5xslt3IHfncXm
bBF/iQXPticX8p8Nxn8Y2/s5F4CgsBLAbpUt5uZM7iB+z6ZN2NzMgbywrXwwfHtgFUseazhnMpQ7
6p2aw++yjnEx0oZcbY/ZeGxvLhakbbwv7JbDoJKvCVxeB6ZryNlpHEGgDvs1JF3aA0XUtUe7hMEB
uy6OxuGpwdT0qe0Cegflz3CA66I6GRt7BxzsIM8Yu8e5YV5qQUzt+DBfAgzqUzwvyNMGKlks4TYd
kTzn3S3Owsako5daMzyd6EGvjBBd1B5bcgPNl5MwtMPlk80Bufe2wb8E3N/SuERYYhBXOBQLkQAZ
YuI8S/sUhCNuTgQGwDK0BqewTJ6hiYjOtZTPPm6i1KfrzdmcFHbuXlTX3rl587OaQcxvIcoO0k0E
nGfwvfsHJsd5F2LCwVoIaDQq5mTBmrxyAfc1OtZqoABjhIt5hTM+YFiQg2TUn1zisR+KcqCWqk4y
DBYbvl46HRUuw9zdTO44Ugu9gwCxvc71VD6M27adHPLzrjG6yDOh20+0Yo9sapOdgaeNtcG5gx4w
Btq9j+iEUdCRxwRz0bmpTYbQ6rzpx1dn2je6KACtk66zQXFoPh/LaanzDQTL80hJn4We6p6Ir8bz
MKk5XypWv1LYeg4C/qgcvlMFu1GcV1vA86HWUYE2W2/fz/DrmEcLrularXV7anGvvaNMvimzjmuM
3TOMThDE4w6oJL0EJgQvNkQ9XFJ6PlXQi+U2GI8Bw3qaRnRr9rBTYRpsMC2kLXf/h7wz2ZFbSc/2
rfgCzIMgGZy2SeacNc+1IUolifMQwZlX7yfb3f/f58CG4YUXhtHoTQtqSZVJRnzv8HwcJ1UZk95z
pEBydFm9pKqAj9GvrFfWhcvrBYjolT+X9Q+gET3Pz2A1F/5P8xPJ9JfeR6IqDWvX8H67CZYy90KD
0uH3yraiLefh9JBN63hM2rpIN4HuxTtoNeOZuR9wAF/l17kux3BGY0+jYki7O94LneJfLctPdw7G
bwJQzHWIBsGIKVQUDn2W2skK1Fs5vDp9l92NxsxjvBR8CHhMU3obk+1cCJxnXDPL1g6eS9Ptjunc
rLyutBg/JuE5LwOUaOo/HjoVMfOmRsmUkr5GY5V3CckwWBzlHNA9S64YUo+0bRtKy8tehnJiOyq0
uCKsByvbMVHLgwcUbd24TUvBy6NuSTVkGt9zr/5OKxZJ9kv/zVhugIvIKDgJZX2XXPgw3FYEq42R
I4l0g/DPo9VnvCka/hMNbd3dLG6TcqUUzjuNYZ4lfll0N4btdj+o0mQEBVkesGuH0fmZcyHfEfZ1
j36cuDe4rPPtoAm5OmzVOmp36ndtVjoPpMZ4o6VewhdFeXx6Q+raB8OINf5TShXOx/ZB6ao3XBXH
X/x02H7QsxTBM/PsIGb96M4SG5KuHcsypGOEeZyXN73hzk8oa+kOlghVujEQIEZV1W/iwnXJ65PP
TyKPSmzkmbHzo6F9OW5lKdSpAzvxYvWBGVmosgdvLu27cjKKLvRif8KKtuzQVi63SslaODvxOPjm
bIejuGflKGiJ1f+qU4pavorze774UFqNYDg2VmPdiTH9CtjxUW8y7rQkxsYPSSs87GSitoVc74d0
JE7VVgEBRLotcWqxm7ev1kgt720GoleojW01tziCDb9fmS9Jq6JxKTTFJH99rcdURJA29HbIhyma
Z9PbxKU+EYtk6vBWfWAKTHfsFI4fh5aUtTe4n3Pcp8s2r321FcGob3If8Qtyn/coixgeS05eEiZt
uu7SNI8fpnrKdv1szB9sX/sFisUJiyCWd7XW1SsrJngjFnSLvSDIHoYpsPcjaIYq1IEC7oGL4q4A
0uLgnCFLMnUUef6cDqJ/9CwMn63FNrcxZFl6dnaChStB4kszSmzOZKfwwni156d5KcwDbJJxL+eA
AY1MHw4ipeQG69Qeve31pPYYPLZeUBE+JhCwIVcmXueh1Zt56BbUlLG8GrNmlANy2VKPe2Yy45bS
S733m9a+yaccxN1SZhFtl0/8t/jMRSS/lNwm2cnBQLNklXsmyZ+GY56X2wXv76bMU+fNM9Ythflp
l2f2cuj63jsUbavP7XptZQydeEzB7QB34Rzc9O0Eg4Rbi9r39RQ/pePs3iJX8k/JMQU9Vcsz1rR5
z0+VXLQrl/bGjAcnxF2r5w35S4sYRctCETrj3u9lqdlQg/vCDIjrNp/o20M7kCvfHrTU52SVw509
tPdGskY1at6NoiF+lKWXBxsBueGcAHoRGyUogUXYKnBIWviNwdr8VpPLdqfJxVIB2zL8LIkO7Hqj
jA92UvLnNV1r7U0uCmdSp4eSPXRfBdVfc0vLZvI2iVNnr3y+n4ulWCeMiMDRha++oQnF2DbHkZt3
74Ky9z6VWZFRlEwdvZHIdIg7+HciktIm5r7ag7tldxmWojbHM2QYN/TpyHz0i73c5wvnY6u8fNOT
GQZQ2Jy92qH03roOhw2eOfd/taTZY0+EFrk47+w7O+EN3TfiHq+BCDLf38pZXszSKX6yyyl77gLt
/cSBCy7OYJ6yIbfbDfM2PVHfmnTNu9AsQz0bzbuBIXvXmEpfcQAm3wrTiERht59TQA95M8fX6uJM
fezMWZB+o4EyeVjKvkssYW8JBuUNH1x1h/E/H5u0pgXczVKcqf3waOc9BpPhKKJbxkdMufAzoGfh
hm4zijPqM6fNmDv5d4xYyZggJ3dvT2Z+ILMT8AEN6g1h6CNL1x/TzALdfHD1i22R6M+UQz6Z4zR7
N5k/3/oF1gpvIbEcJs09nVmjY5oSJekAZpYoCbIRbNNcP/hLtYZx7bt3rPj0tlZbToe1LsY1ROnr
4TgmjWRlDT2HZGLNNvtpph4+AtHIvw04BbLEbvX0A46XudFZQ0suT7r54BvU5dfU8PeGmq2H666X
i2fgvPa8jx4JeRjhitIfcWmf70snkQerZ6FD2tf2iyr6gqwDqRXcHkGYw5Djvhuu+rhRaPM2tyZ0
J6ErH8OLnsuki6jJHMJEXsJJkNULQvuYgZoyJ0AY1A8uAuRP2NcWIZ96pQsTNb6XR65yqYx63e/c
zACVNLEayDgTZ9BFuW4t23z20PbDTJgUaHibbvF3q4tRWvfOWK+7azF3Yzmrd0sPAPxZNs8/xhII
9KbzJ/9BYn5rRqQ1uBWZWT1i0gZPliHnewxs94flp/XZWFx8tVqMp1zD/wiTpCTS3aT+k2SJzXGx
+/cOHfrKmNLrjc2O+R1JGr3nKCXvQqPmbrCqR8J7xWXmznXIKSFEcvJfVaVTMD8q4yrpz/mLIq9z
P0F/mDdikPnrrFY8AsNfCTdlI3AZe72hLlqHdQFAldy6d+zSYp9WU3pyKkAqVez7p9xxbtu4AO1k
V/6hbpb6iJYxhmvWVjwR83Qi770+rLlG39SeV4GnWsR7DK3vhkfCfjNc+9HX8Uswt9N9qpM68mKm
uEJ3SQS9JY2qOX9I8Qkz0lAH6Xs8PyyFPy95i/JazvVt0Yw6rHVxtLnOPtT0lQ4TQ9QlWCqYKAxP
9k3rBc0B3e/b79pnKZZzkmAY+YZzqlWFaSNY6X7I41m8p/Q3dl1ZBXtHyurFHDxeXD2e9LHO65PZ
uMMZTYBMiHTmKDPp3JUFPyifRCo7mCwy7RqjGoyRC0KCvBLtSmpmu0Ql+cEyMmIdDYSOSiiaakWP
ADAPC7DeNsGXTaUoH3hN09zDkp+3nBzNDk9SnAdr/NVqE62nS9h/lU1IeyVW5C3vLSck/7WcyBNQ
7AqS+Xnsk/nWr+PpEAz++kjEstyuWYwkFZj1I2VP/QiM3NomadV+LOWY0+Ae5vE8VwIAQWD6v93Z
jl/HrphZZcpQiiIdq4InfwVFAsf+rc7KJWqzBtUgbYyoqK1i69DwOebgdo5V6lkPZuZmt3bdIZSv
LOsMg8nu79EG0u9ywk/eZG0tQxshkriD6Z4Xt5PvZjHNvM/WDtVwds7DurC9YCnmktxWhp/gyOBb
xYGkOGcm34iE3CHyqxRlq/whYwivGAQG5+T371cp6E3EpLI2EKz6jzV2rVfUjeyDfNp6h7Zhb5Mg
NsBdsgI7NaT5uADNOE5xUz7HeZxusQUY7yGGbOyg9Z4cYYp9OignhFKWPo4J9nnYyqE89SwX/t2Y
9vhUc7xizCzxnQqU45CdKKtD1edya4C+Og2Vbe9YkYer0Pm1uC/LZfpAZnFvsKzKrd9QTOcrL7s7
HAP5VA0M4EazFE9FY/zIOw0lWXN+AqI4QXvrsHMcfZeo2fxy6LJvmZxJYNRNLzgTM4NgEK34XoEu
6wq6WMgz4yNVIi6A1jToqGTxwG7VCBnUPaewDSzzt5X78ZmEDrhbqnCauTYe0nuXy8EOMy4+VQ3P
4aQVDdeZUZ/RGbUAN8p6nJoufqQ22mwTggDPdZw9cbpy53GYpTl+qZJVnoeXlhbnrijnF3dK18PS
k9aXRklH3eJaG3FHLt6CvKWYrIw4fR+lh+bG5uQJ2QF9mwoMvpABgXLnCVueO8tdv+o2c/d+invX
9RWUNEbOkO4exxVe3xNqGLQax7um+67aewuj7TfhmiVkQarztFJRO47LUFL8WboNQ1dwaovJRdPA
ieFRVZteEkGH7uahKyyuAWAN2ZyvJQ52Nd8StX+oVrMnGdePuyGI/R1pMu6cSWbsa6ybp24EeZGM
nXMQErhd2IHXchgqF//3Co+Dk2KtXwrS5NwFO3uXlW5zbFjud6vzQd/JuCtOKZ08RniCgpvCkz4/
cvMXLxzjZmTxUb91AbwZG6cseQf9K1mxPL+iGnbpODlmWPrNL0c18XZ24vKj7JcEC4XI8Itb4n+w
GWK8H+s4B0TQjbfUbAVJpJowbDHCskllXv879fT/chAeqwJz+Foc+M/T8GGafvV91iVf+s9Z+P//
m/9fIF4KIVlZ4NsYctSL/xGI98UfluMEgevBGBec4PzK3wPxlvzDFJbJAk7B99tzrzjQf0TivT/4
SnDmuNLkt3pky/8bmXh4QH+JorswByXRQsu3ApL2f21oiDgfC/477zwKydZuNjsdTl3OGL0ENTtb
7Hbt8q2mPA9oIokXqv8epY2ItMhsbHq3l+EUuNalnugwN/gjpE6gq1wczyufimwynh0kmyNLJ8d7
t6rTMy8Oxm/tsKSaLXvB1rNbIFp1l/4cbR+GCNqQn0Z9aqeHeHbL1zWpObJiyMvnxKzx9VLLRRCf
4uXBnRtW4ej1CfzF1V9npuEtSwmMnSzcofQZRFMdAl4R1m5phqEI45kAcOiVizHtoS2q26xZyIIO
5SqeYicr3212+TwhBhDEElb+QwFVuFlKVSE5G4BbkiZwPudUegQ6Bv01MVyEgVkc8THozYCCoOqc
mwUIQdQyQK1dedeuRb6tyesDl5jP4C1oxQP0DzNbWztTlEkIZKyNCIWZP6CazRXv/CFm/6WfFeTQ
3eLH5JKi2RRJGfxMGjJ2lpvbiJseUz1lOcNi/rbw3HpHTNvALq7ck4yyX55YJ6ZnI2QCl2Hv5lwJ
GlTIrKbj6FlzVmBww3gt81qQyJ5Vvb3CEeyIUpx3M7hT/pXVsvolLJI8e00flFJjPXYsp2Qd4mUl
+YdITrgY4hBE+zC4XlRoASf9hpQ8h7kFhuWm96fgNAd1+4GS2vUhQKFFbNw5a5BKPMA8cCfT96qs
sJRs1s8eoLgYtLivnhCaJ7gp6HeqBqJDAmYDwyDgwgaL98C8OfyksQx/C8llPpCsCPbe4IGetBIX
t6yldL3xbL9oMQnN7qWXtnVfYNVfYhdfAsOp+UqEneYbt69VcO4Tvoohsnz7rZguP7qAYHmEI8GK
+SDX7aeJytxuVgKzxR4Yu34yPTu4l9IE4UcaJLjkhI7uq1QpxYgI+ikkXKgfsDfmV7y5SsO8EMav
oeWSHfmmqd+lV1Q/mFGaPZgbfr2xgumZJbncfJK+8mcIuETyD5N1zXmNBuNED9uAC6g17Y1+Rv5M
p+k1oKT66ABrO9pkNXluC3UAU2KQzWhBUm8YbkSkEodduDG+3I+Eh+v6W+MStJouS3UQWZfrLSkY
/zg6mXtPUIbEgSXLWbwlivs9Aq1Nq0I1hMdjtjpt/KHhbw1TjfCwrUSy6aAFwdBQfnJYu5S0TuyC
brTWjymZt2DguRxO9nczBn4WiiLXPzjDAeVLU84f85jXkboGJun5Ts/zNLSXFEcJNUxaJwQTBF0n
6fllhoGtWububaWdm0ZJ10sC6xOQx7lvTlgPkFLthegf6Ih6BwuY3NDsx4dlSff8vddtQ9E7HKeZ
OLed6v1A0o+Uqxe/wiSqwrq3Kd/DhHVDwxww3ZdetwpWTaWidK3hFSHUCDOsJmyarRUXEsU+Vdmv
HK7aCyya9CwKk/St6m0ERENaExX/wDR3yrI1dDWlho+KmoXmEWFs3RQZYafNWjnqvkWvWnbUDSi8
VCvhS9MAndbTtGLOH9zhVqlrHWSpYdj25FHfO+HFbJCofxbViJ1ca97TY0kzPg2KFPjbYDhwWwP1
Inorv6FbTiM2SOfxTcaJvhBqSD/MkRQ0Xf5q3eIIOB1f2Bg4YgW/IQMxg4EMKK48JFX/LdRV1vbr
sTlxlDhFmOSl+imNhI6DoQfuZ/BIphvC+jQ7AidZnKgzc4JyRjeAzJFAFHxEG+V6hyEoU58xPDHt
qIB1+gtsZ9OH0+whl7WcMnKsuF9qdYpduhgVPynBgIErwXWa3VF7q7O79NBUvbWTmduLQ7WCQQjz
xL7W5UsXwEeBj4kSFQjZAd/U6jf5Wv8k+saKzK6DBuKvMy+ngIwHrmtFICXL5qiclPrIvI4mcRv4
/kPfausVcnXMQwewkPhVY70EelTv2Og+QcwysZHH0bM3PsiFu7b36zsXUMWLWijN8Npw+fp4HZrB
bkGmq6IuG29YRoHIKmeZvAZsOa+iufHM30IJ0z/zN0ztyB2d0tqk/uJ/9LMvGg4oq7vhuXWqQywt
Rnw9Oe4z7yZ9Iaee3zLnWDuKZqx3igmdh7OBZ7UpuVqnIRBkc2eoJrvA8fDellxMGNhzdVeQDg9L
i0Z3AJ32nuIHSuVqmji81FVQU9XrkAjICdiMkbkMH63w7Oe+HeU9F24rGgggHpRTiWclGuMXuas5
3liJRQfZbuxjLnKPgF4m4+dKJN6912TPDcS8+7hZKNkvtXelAuTFvZFbQPhk2wwhHW0HdCmMhJQN
NXW9oL+aRRouXk7oOi79+fpNKO32K2Mi3sE+T65lYarOdFanQ2oG3rFPuDqM5bR+l7ChIlxJNrjU
bKW6o67RXei9e9t2crPPrNcfVILX/TwE8z5mSRMYzir7ioeFFQT+VDz63lQjbzkkhca03ilj8pEy
fSID9aQAZQwpYrPVdZa+8Zyq+kQpWcuNb1qzvxVlYdIQ00IeywSQaYjMI49DmvXPap0a2hcaLlUh
2KfSLaw88ZIcuFMD7VF00t5LXkBhgz/07HC0PDBV2QmoB2jEmyt1ZEt4t/tiAcuEVmHTYuKNkB7H
Jk4Rp0frSUg0ZHMI8nFDg9G7iGR0n2yHKHdYysLcT51t7XN/9m+XFZTMue6uiaBApOWNm3vlV7sE
8cewFMVj75nBb61K2+NU5ioRst7LYTxFw5v4X7TRhk4y1CVcWUn0wrH5iDfUfmNoIz258142y5u1
OsGmpZVyX0Dt7ClBeGzytTvT/nJxf2Ao5kn6ysCU6h1Ussa4JfiWnmWSrxFckDje2ykpGeLawzId
g9jrmkNPjvVtNHgi6yobH6nTIdHDG7ibrNRSYe90PQ0og9eDSzh671Zl/0GOoHnQ4CTIKiZDdhoU
NURobTyruHc5aTV7uWhXQYI0kLIfuMBOagPLOH2HlUP2qpxGAF2ySO1nkc/qDVmhvQ+6HOqHq9db
f3CTkQiWlHPkKM0nqnW2UqqpvJ+NJOqM6G0tt8YY16e/Rac1gacx1Eiu1Ds893td/d6MfC2XL8IL
OA9dVRtbTIXxB0NgDsDCJuqE7hIQ9AZBNRY91M6//SuV9DBTiHF8BKP3bOc9wfV1cgh2NrbETazb
ex9AJfMuiMeifIRSmUVzmXSXoEolz2ws+QLKkTmXKh4U3aUliGpbfPAx7dS3Fqec2hR8hSKkrFtl
2Je+/ZoD4LgEZtM8Bk3jPo6V294wvJSXLlnKd+MaBQhdAs7fxbKm+7WgURhiLji3s+8SKOpKGL5+
tojl1JAyWw5FYI6MyLVlwl5NkuXQQ3v+jstE7+NakEoCD8TlMmm9tkHj94PbWiXrweTk+mWYnfsr
SWLNLre8oMtCTsDXkQuAH29rtFltazUBkaoAMApOe/6+GgaSGnlQGzpLE3C2peOrWQTpI7sQSkpk
w3q/Znb/y/7b4asJRG74wdMVnJL4kfR292MmW3bD3uX2GYv+bCqqD5QNR/eLJQ50Gyfpp6R/2GUd
kFNZBlbVgG30C2+KBJUVxDqqu3zOJZCjjahlURyGIV9JdKiOlwYOKVTfwXLegWmreTOoHnKkYMEZ
HpBov6Wh+sPU6OymwcF9oF+v3jQa3c9OOcEBRI4JJ1kgPM/LnBxJSMDFNNEbqTzWgMeMQK7GsaiV
OOBYz3gUNvwRZ0n7T9ZHSRjXuh8uZDRpJBSuD+GtgFB9YSTIDq6erENLh4V4O4TGrUkV+dFZCGcj
QILuj+y2WhWWL3H+UOANkKtrulNV5bG7GWfuchEsmea+K431QGfreruxh5zeSJcffKcmojAh7T8m
fDMPE6GDH36zVp/XKbvnT7CrMkIkNJ7EoIf7qjT1WzGr5UhxgcAPDbcldOx4DVsaSvzKKLhiUNk7
d4KUXhMkNHsyO21ikG4Q+6qm1CkWRZbcWU3FP6EoWk/yPOT5w0CtU/e2a/O4VAhmZX5vgPgmSgBZ
PNSr45yvqLdxw1wpnnMnDh5Jq6xbyaYvGZbLQPwlV1CCSdTZ3anLCNBG7iolPHEKtViQSiCt1ZnB
aJrm10M5q5yD7js+Gq7xokIgH2HMnHpOpK+scHHU6izuqFrQPkclpAEkoxRy5ohdQUJunXpc7AJg
6UiYyCPhKgp3y5KNFJGNtLrG//nJChmsnRkA3fUaSS3HG1Lth4R1smOAfvRrTgpyu7rgTWIkcfCg
CPe8VM51poBcWkZkjxcyIb6JrsWmeQiCPbUqMdaHEcTxsR6WVO1Ixc2vcJYssa+owR4NNcafZFgy
Fa7uWt7UATLa0dZ6Td68YYaEA5gFC/h/hNdwg/PTdM3v/q/Ahj8xHvb/e6gOtuW68BT+cyHr+avK
yn+5/fo5/DPS4e+/7e8SlvgDUAHqlRU4fvAXpgMqlRW4LvtIncC+ohv+wXSw/5BX9Yr1k8hUlu+g
bv1dwvL/IDVj8buk9DzH5nj/70hYQCr+RHXwAttCD7NpjgTCQjXj1/8EwbE5dDl8t1nCjSdmz0ph
qE+afglPZr8x+uIk6ekdqJOn//6l4rP+j4kSfwayIMM5/COE8GXgmEh84vrr//RHF3FHCGUy+q2O
iSKR86kv5ZiV53/6PP4DXoRr/1WjY4cnvIyAlQo+xXN+nH/+c2bDFBTR2hKyDG/KuHeviHviN3om
EdQPHjTyMrcuGVGyPbGR7NI3pvimVZ5sAYkTf0x72WHsMmvejg6F4HnFj6k1o+c1c3hSOiDyorsA
/7Hzo0EvY3OgcsjhG0MriHXrwc8TTgEUmPFdue4zYMog9BKL/0NvbVBF5sm8kw0Z8WhwGVWyCp8t
o3tAzX3dla7NLOuUnX3rcd48m0LxhLdQh6+XMeti+Z3x7JGPpqvUBHcT3HtkRlveJIWo95lhLC95
piQZpLjcAMEgsF+6ANwX4ZyJl2LuMb1RFSJ/EM7aYIPQVTEpDpL23uUKIIQeZmQD9S3IsvZZxYZq
9xLO1D6B2rnRRuyyPSFd/E8/lrkdFrAUH+3ABGsK2JAwGxX8boMtd1jGvLv0iTYOwH3T6qGyk/FX
xQaIj1p2XU6A0aiXUKzs0mYlwTS9X4944I7cvJ5qu3uD9OZswY+RcaMI6xMeCbg5HJJck9PmpbjP
lfHpDiK4wcSli1wOqDzl0FHdLYp8yM4IMTPl72omsdWqlQ+rKM4jsuG+RCvcW36C0ZErv7nUFvWA
tJyrgz2m03MCLxvxBr880wPWdufjlg183J1ZiK+ydgnq121H7R4fZF9QL6wWNV2CIkt2RYu9axvF
vrE8Mj/YPguVi84/mD2iA9oywMu5H8zLkk1pG1ZO5UHummJClEbJx68r8O1DK48J8hoXOCvYjdKC
6d8P3ZubmP4brD1xA7iT73TinH1T2SCL+Z4T0i1DxT6FG3vRwfPoNtmV5NBHU9ewQ1rMpB6qoHU2
wDSwNxe/e/aslUUJjqOLJz/pSIoRcHLMBl3MYClj0SguzF2XTZ+5P9jmrnV9DNtyECzJKzrw49sU
QwcQ5XrlIdmTJckZZRl3+9qzf9Qy7h+vNaR047FYZL8Qbnya7Nj7tSaWfuLkCl76vrPUZkkH4zPP
rPmSDZV8tgtXmEz6s/JuZVoE1LHmkehePDrxtDNxlvcsgsghkwkqgCwzVwk6T5FMP9plzrg15pZ1
ybWpzU/f75b96oF55r3kgyRY3fxHR6z3fqryAqVvKJ+7zHKw79WxA9AJPGb6vbJbZlPpedoVGPW/
k8Zrf2YzN62FJbY3ikzlcWWJc0Svjmt+ouzxli53exZO1vJQz2aPyWcF33lsx0ejcdfIcEojrJlJ
AX933FcKoXKFid51N6up0y0arn5jOaPalsNk3rLGyfmK17HeDcgNvy3XNLeE1epHau/+UzMF5hdA
QJepdR328RUkssx+9xLDa96XYycu/ZxU7+wLUa80uewX7oHymHYTgyUYZOomxVhMISr/hK3elVx/
ajbghBnbd/R3SVckOae2Tgg65KUvX6wma6atw+9812u8j/Ml/R3HNvqUpNa8bgk3NesBYOfKDJvl
yxbBc+cvKWDNwFlBUmLn0e0hCoYu7ZD433SmEWgyQJTg+KbNFIPidOGF5AVEg4yMt/HSkogIWdoT
5zuvReyIbHuotoOnvODCtFedVq7f3U4xopMPMyz/GCvf/HRAXd+TDxmPCtHvjdldx1FujBNlZOJ+
Bjt8Rx6bMWPhGnWikomtD6YzItz0OuQsXDjGlqZurBiKHkzWCXahaZP0jpNs/qoBBd72Ou2sU1r5
wXY0lo9lAuQTLQk/GJD4xlM92O0vFS/jEZ0l3U6exUItAZgD0ue49Cpyl6p+58vP3rRqhY2KklOQ
LSziHjmT3DGSMUO1O6FzMMCEQ6+A6sqpNT/mdgQq3aeFycZa5p+Ny4jzYdRTR7i5aOVbJVvxrrIE
3Rj3+zsbeiu05RpEQb/qHQZKdzfNbvATak5zy70/yInx96SKTAL3K/JX3OyXZB4dFEYaGQoPvQkZ
H+1naiIuYGjJQ79pgFQellzzF6iKlS1VVUrlekM4ixtpUuSVwXW6aFvemYCqCFLQWQPAtNSEVsnq
oAO7NqsP/AJg5L5yGxxc63ru+LbTvHL0xFAo89xD05nH9qXI+pVZi/w4HxmOek4SS+KjX8gxcuCB
XiLtp7z+NDYj/lSZ2gbWSUPCR8XdEDqSx6E1CFyaxeLcU3hN0y0cCpuFLKN7a0oSGgl4p0u16Im3
6ZqeoVlMe9ovZII8uEw1rQuISIAp7fTRMKGARCDUO2jD4ySuDzr1gLXXpEpE4P/MMSeScFigHLMG
POh+awjSdytmURMKsqa7TqC9sjWtx8qRo4zQLPsHA0SV3bvzfTqZweNaTMmryYoDXA70rlgDmYGp
QtWSbZAOi+oCfenSJIWP2fHYWq4hX8pGjd/jkhU8M5n2qHEmxBTMlFXeYHFtsbEl/UhcwwsrJbel
HjmQB9XtpWgo73hW+jzO+XQ7ri2/OZWquLUaw7xnqaF9K2eT5S8TzcHHuSdkschenFl/tl3pbl7z
jI+DwfRkNAyv3Ml2bHeoI67J3ygkTjS5mrp9Qg5xQRyWecufx28EpMR+i1PfTA1Sh2uFFfnTnYR8
DbiPCO/9lDYBhhPCVxUVlrSAEbhtcyY86r9zyrEAq+FLxT2Ii9BvxtD1dunauTyyS2Z9dCkCsIDQ
Bue8Yb2hSI4We5P1xqLiv8lgaP4aFvSjPcDn/hvVXS+7qr+O46Nu24M3WuJSAPyxNor1EsBBKswy
Xq1O3YGBAdlyrDOXLhtBW25rRTXUT4yo6txRwhjCsZQsZvNI7bDTYMiGNwQ2621Sotx6iY/Gdb2q
sDHMHRwsJ9+X2TZXAkWrLbwHqePp1WTeY5sRub1T4tv0EnviGdlWdzT6FaQVfKJp5HmqYJbdQ5Nd
b1FHxwN1Efmcg8o9CMD8REFd/33uCi3C2RzKJkINndtjPLNqkb+0y9+ErR8D+8oCxugNzDP9Kyis
jDU9q1XZnOj58uSgKVHp7mbm8xpFnDAH3uhlMIK02y5J01zSvGp/917CH5NAzh6vnwu2b4xCWdIm
kbzEMgIZ3UWrqaQpXUmkKejMiMhlNY4M/4lBcigRs19HWB186u2y8gPKiwDhg8Rp7+zQWaynUcfa
OA2xlwhIzpY1ngJXgao1zYJLR1MGp2H0Sp9rj5i5AbsUdM1FFqcWzQXHhtnruV0n6w0orPvGQ52P
J1Nq+1yZ6XxZeemwvIxXxcvSxmNNb6lIFfrRpKZNMQeOHflZoLmyspD8vNaQJkjiY4XExupR+BJc
o7aTVXdZaDE5jLteuINm2wCPK1yCOH4rSZy9AkMbs8ua9jiITj8lxxKGz47wnfFLmDkLJGKTpU6C
U+W4zBOv4sZP83d7kgIRpjD6Nz7t9kaaaw6Vu7L7o8PL/BB3pXVeJSWqwIn7S8WiviyEvc42N/7p
WxyEYEBLlPNti2FCWSBNwOPnXI+wIIhsPfcCdyP5L6a+f2PvzJYjN9Is/Sr1AAOZw7HfjFlHIHYG
GQzuvIGRySR2wLEvTz8fpCm1pO7q6jLrq7GpC1mlUpncAPd/Oec7/4EjuLR9AoKfYdAP66ZJ0/vH
tq+QXdtlMUThgPX9oWzDzyIuHipdvRpe/oCljYsViqlPkfnewOb+TXHzD7vOXzvaP3IMl4/vyaUX
FPSdwBb//PGnZu7lgE5804ct3VrfqXDtMK7GrRoRRLhOsQhKcOlF9FVwcUgfoQPpNpjNYPmB7D1M
WtHd2CpvrwTJeefli2GiK+StNqjpVUpKeGZMKL06bqz2gh6gDH6L6P2flg39vzePIScFJOY/nsfQ
HXzU/xllE1Lk8id/VxW5QpfMHmzb5mFYoo7/L2bT+UUwDNEtz+QRkeyafh/JGOIXc5EZMcExGAsy
efl9JCONX1yTCcYiAWLlvqiU/hVVEQ/gHx9Q1ESWbjrCRiPjSN3gU/jjC9IWrWcj3Ox3Kmm9B9SJ
011RsgpdE+tbf2renJ4G4VXqnxBsOWWXV+/PH9k06RvQNPGFI236y0cGFJiigO77nW12wTauDUt9
5HKg+ox7nQ1i9+s2keF595rRbc6b0SxxZ7lOhmU0SAdh70RGTMS6QcvzFlQB1JyJbI2VqU/std3a
qFjPqSBa44VsOpQZEORA2+nstKBrYHVSpTt9GiyNjJZk5J1krvaWm/n4MSHueM5Fkke4Ufv+fmLr
p/CMUpKSuMC0BNTxIojXZfcKyy3eWjo6fjfPT2Zcxjuo1tMw2+w5i09mBMRMYMmfS730m6D80We1
ftPUQ3LvdanzQkdY7YxAS27qHOQcqbYmG10ttIMnrSdZajOHWnmY4CKti2D66ZDXuxO5AVglkYdW
jolPU3dxo87Z9iM2joLwZhQRxXNMDt0aom/NV8vNheFxFXvyCr6sWIP5We6+siN0zcBvpAbfHVEe
SUOQljp0/MG6srAa2BnjK+pzW9VgYUb5wZCAjtMz6TXZ1kfkGoVGDQ482+JtwAgXzNzjBgp9Mi3X
jQVUuyHDZ00czXA3oD1A/K/gDQY1CpuM9VhbdjkAMLNb4yriFAuB97dD7GxSF1xjg6Fq17KzPIDu
01EQGNbBZAC30noJvLnuuiPGuRhjBiotcqnmdWcVco9KDr6gCnO6pNTeeUSxECsHu2seag19qYk/
oCEz5VAACPtSeh/uobtrvqPZ2i2GtuKglxWO4zlrUp8gORP1SheTpzoGpIclEKvIEwPHGvqI4omQ
payhQxsMs/mYHIg5azUb/NzxhjhvuB7dszPF+ifVXP7VOhN2SoROlrGS0dBdwzK9EbhdMp/04hg7
hVcdWiq5UJjaMTeUOkZzXr7ky55uxewJxZWY22je1NYQz2uUTygahChtchRDu2S50qNHEIFFV2qW
aeFLHOS3IMYx5466kd1kTa7vRh2BNJMjvA25pdWVTzYpwiMbGeEG0gY19uzgoRXQ1odVU039vdTa
icSPaAqPYahYnbOOdd6a1kXoH0jKn8rBKrHGesiuDdnxQbSE9qxtqkUqm1Ky62HIREQyqiO6GfOx
rGF8oI1mocg3c8FLGJM5kApCci4y7LJ/9sKKys/1HLLN7FES16eZ9bBxrSGsjtOAZa6s8HrZoDme
U4A+3a7NdfO7sIfA26Igm2rW1hVKtdU8WdrVtcHu215FN4dxMGX7ImtjzToNXTYgs+gRCXKBPL7S
TrUSTJv4n8HCPHau3WwVA59fDn9j1u4Cc/qyw/SzyaMbvU92SmgmjtElYqCX2b6PPOPONiGcVSYL
OWIhQXlgCiHfiDwjfRl5CtX4+UyAV6Kq28KemwvxMl801jg1CB5fk34V7hFl4NRwnBTrNF+RM+Vq
G+ZOfIkCrd3Bf3MR6pM93rIj/CRRkWjXXLNvBfY55DdTMNygYB6/c1IwUB8Sgn7yWBRGPMCuDNZz
wegY97OlfzrJEB8zoFEnzwEkxlCRwSEZUYYPNIk1bVVOGIUJkiLD0y00pDGj9gq6DOsUsL3C1i1U
1BPmDXaw9x61UMWmNHCROcb9kZjBn8pgwb5uWKtTaKrA92grSf8A1GqmM5ELI4mIQx7GVGhRftEE
+QYsBDtjLcohuLIwS43HXmPmtRJT2h7Iw+1/tFre3TbDgp6NSgDuY9xOdxDXUaAgHdKxJoyEXloU
7JwW4afLNNiHJuPuDXfkC7MQlcMr47vBXu7JJYsFAyJyiHxkRsY0SxzCIb1dgA9oygJ2njJfl7l1
bLPIOStpR8fOtr65neLbovTULqvxmTAQmbGnQ+uDBI1xI9yg7UH6jjhZL3xtquovYNLY0oinEzeO
jZQD+T22qc2CPB1XrtWH5zHqrzFa8Zc2pqDPkEX+FJHegbE0kAV6vDA7i6aj3ytlY3Do+969ZUST
Pzv8nNY9xjNU6kHx1fW2CbivCj7Jn9PNh4aAsm7dzkXU+mXLPHaJF6wTX1EdLNTIsN4wPJ5ZCMxQ
+TrxqRirba28mXcZqKKTE3v+wiTU8H7m62hsJMFhTWo4PtMiQ9/FecdqxVSuSwBQhXZmoGsGEUq2
5C2CiWHcTDbxVVk/VJfJLe4D+BPshmMgMirXLllrBrejNiyjXcRyrrkVTR0DJcS0KqsQJnN4yIHN
4vsya3a03ExWTSQsQ2++BPQ5vfiqnPHHxPl+GBpAR66QJAfMXrTWxkouXmgSFUOSwKXMbpSbjQyI
amvn9pTPASApf47AT5YQf0+JFT6HBmPAqoU5OCzg1CEEOTuwncFTq83RNR8Vg8YEvvcQbPCv6tt2
6uQNrEBc51qrQ10hNWQMF/BF17dn8hqNVcySfFWO+NimBlph2AT1TjkE2fATGjbUgsa6WcIj+3F+
CjKgeTIv1Sa3+cZmVRGcS7cvd0GjnrBnaY9eWdT71gNERakBENCu211JhviOEwgJtqXCDbF2BK13
oFuswrT3rCRIn028S6NNvL65NO9Gfu7E8KL3lXU/mjvYPNBlQKTsanbGK8OomX80sWmdKBcwPCI1
QDQAYmXbNXFzsWNFuiPLBXdTYnx68xyRXR1QECfhZek3wUT2QePKOeiwbV4SBbmzI8Ou3w4W6ASk
dV3hh44Ivklr7va2NblrhvWYArlmgx3jZgiEZaxHF4RA3Jxp2BNeFprjjrW98eHpNUGdQo537H5S
5I2qwKMbdNI+Qg5j9tL3Cdgy2cUPWLCsk3B7/XGqkuBn1jDfXqnCzXduHcYpB5MeHJJWWEeyeQuB
yhqdRGhoMckjYxOvmGf14a6EVLXLWW0+G0j/VyYjlmUKAnsjksQnQ3IRPWt5zyn5IRSgwlxXe5SO
nezjqJlOyZjMu0JM/StJLDkZ9oC1VzPlA9nDRbOVTecVx1YIxPZAQ+fHNJmmnyCpc15TcDbX2vH6
K2JnRQpWbLMiyQOUeJT22yRIm2d3KsVtAKLjGNHw7ibZ49ee8ebhXqnt8DU2K5hzuchOFq7zx37I
zX1PAs295tHIt9IOLkZTuudMd3UoIK7zqmWga8jjgDJmBmSmk5Bmt+Ft7SY2q8AQezZbMihoLvpa
KvcIHxsnnr6y5RzfmMKAHu/U9a7UJAXPEMTj2qnoLFYdRFFADvQNyDesIL9FdBPt0HhWeAIKCkYs
z1cImvOB4TtMBqLsnwxESBgXkHfAmhgI6501meDmZmBLoFPo9BMHGNNRFEyEeGdN43uITbe2gT2U
DXeFvx1cjZN5H/j39A1qfOykbjHtZJ/Y26pS0RdFC8xEWxFrH84ZFraOPJZdjp7joKq+eeOlna8a
kqT1bI3QaWo+iKsJuUmg3GysvAwRUBnhpRxreTs0ooezb8ixumcxVGUPGjJ7x28VqYt0IjR460AP
k2HVFvWIHUv2CPucjg3mynYRdxEGnlxzcwgfR6XHeJZSufMmOyw382CGu64Wzb2apP7WlZ75CJcW
IfNUS++1m0Nv3iQxs44w16KvcbCTo2YD9K5M2YZov2Py1wZlj1fSmcyfOLvnI9B+A91vPFbXqdY5
K2bG0hRsjc6pZhHKssN/y5FdN0bH8CoXH2ngmE+WTfLbo8tQrSWmsDKNzZwwhdroDQsKhHr1pjew
boOUDZn1eHno4MPt9Ck+KJ2H0O9CjbDvzgKp3+aTDSc05e01J4AVgCsJnithXQLoMyp1G9botv1B
M+S50pRDuJVy5IRURy1xTJ3xluHU2hW6p55x1XUfkpZoXZmqutaWeR9rmK3HrPEVqdMn7FhEZ/Ec
rjKUAx+JEw3vYeElB5ug4Odk7rVXXZUWjH7yiN/seBqPfTtMW2Tx5Z2cDfs+JBCOHM9wDPYm1IJq
UumBijq6YVRJNheRQvuOb+FH74Q9e37Nvpg4A7e55uz0tnTuYjzmx9bGFMJgKLkWpmaevdboUGZ6
LdL1SsW43N1KqBU2mOBU1jMefssJzmHkvndh9KX1+XiPjCAoVmNVQ1Y3yJFYNXbvfXcuIdgRAJMt
gh5ynVBaPqPA616GhDcn04r2BUl06AcjJt0Csegxzsz8Hv/Jd2hGYi1V610rytkLM1JSpeNY/YQH
OHODIiUrmtR+BAbSHueQNDp9bodnxFwQqbU0um0QEl7KuTY2eLGbYpPrqr0ZA5O4Ro34WDvMo3vU
bVADcbIqVE+DunT0pJ/VJM37CLXbdpqR2IEMq+8QU6WH0qleOoETxR9dXJ6IoIxuM5aeix5zkpAg
2pltWjat9LET6zQzqIHaRL72qMDPjHjTE1Ip7xX6f/AexJz5VkidxrXaXxkhT++4G4tbRHbzZsbd
d+7YcT+0VHlQCTNhbmdNaUcDUeg5wMzw1Dec92gau/c4rgvo7W38MbGbJh/So6UGHO+cXUTCsBYm
3q6YW8WP+thF5M6d4g5Wv04meiwjWIDyUYIduw+eM9dqjhaj4met5LlqIjunE8Qt5KoJd2pEaoKD
rOYYOP3gaz2b43FS8hxpefFtDiOjYmTY8nGBkt6KnDsPA0JgfLlhSofVIdI/ibBhtj0HSbjXeND0
jUHKuo4/Ku1QO6Rt6JeaqV7aUVUefdeoP5Aeoh6dWjYfCZaWcYV8uyr80asKGHZZ8DG0Ahe/F3K+
nJqyti9MhMPnuS5S+yYpyCBeEftu1tskdYOPsB3or6wuNj57u7CfkUxD4nec8gNFikJgKJwXyE7w
B/O2vEEbSqc0cHbwCSWsYLA3bOPeMa+exumt48jd851s7mq96c9z2pNslneoOnvkyo0kpqMp8aNP
+M22c9SUAOg4MEjpU6+1I+JtmOba1cpgriQ5hFbdWbcc8eUa00bxVZKQPt56WhhZexjKAwQKD81j
N4T6M6t6uFMqHePvXpjIfGuAf1PCgnIFpAiVaAnz4CWlh/TDgI1+4yDtxyQ0hNQEZkBDLaPGzLdU
AfXNBMjmDUMadIOk4AGK9ZnPQWvK64RWdWQQFBbPZg5/joxel53CVHzMdTB9l9Sgh8jSOIaY//uA
bkvfAse+w6/1CZfvE9gb4XvO9JGN1uS3XM3roYV5AXNKLMXYM4dMeZzq5kEEg9whu9VOYYJq1MO5
tsL4Yfmg7cCzKmTsnXvFYWneISgg8jE02TkaZs4UYAxw1LVFcRrMwj6QXsbjoDH0O85EdZY+29Dl
mspJ0GXz7DmQdkqv4U3T5hP2e/ccQ1IGEerVO90LxCdcJTIHmdXPSALKnD+fLaJvYZ17OqitnRnt
NZmcC/pkfcfdPEDnB464gmlWr3HRkJiJTBYDnlHfWZLEC2ZCb8IO4AnmCj+/n2pFckdlB3dbcF6d
YbvZTLsaC4OvF5lsThMazxX5DCbzt7n1jTHKnkXmZEANh9q+pzTIzDW8wuAOyhnoJpzY+5YcSnyE
RuwbDQHRbjDxXmaBRywzy7ptO7eo1uMOVJhZLw4Cs5PBSxUSD9nUqnlLJkOcSW4GV0hWCwe42Vv3
RtxBlOGjrcuqCi6RLoyzUFrB4MwrnVNHZtHeKNPkKOOpOalWqFNsxu7V1gHVkTvMJE8So/46NX17
x3ANt7JlNJQ0rpOnmwrpwLCaTZVsQnP64c3ok1oZGqBFpPjS5jA99MEcPNicTCvb6Vi+kZshV6Ct
0m2YdIstVMx3HouTXSQdHILkRbjnMW3V/ayNgkevIpgm0oxib5fD/DH2mXNUFjw2PD+cgmPZELNn
YCpXDK8It9AU4gBLyGc7Aj/kC9FTcwHhMhous7bsV6HDQtkgNHdVS+0JBh77owk/mT7lqHCEikYC
7rPx3gmI1K4mVzsQE6COWollkjVK9S5AdPhaWMZ+kyP3nwE6067vYCRXdz1b8C1Ud6aK88hFyi+t
A3j+/CYbnWFrZFynfhFhkF9PbtBuwA7yjpdsbNHBTcGuS6ta5+KR/a2eec0zVFL92R2KEFnYBOaB
yRULVdjV8EJRetMnD7F6TBuK8W1sNePkzw7Wuq0GQ788waUlvRm+HQTUnOFHh5Ek1F6KxGyOroiQ
HvUU0azaSea9zlNUkwLu2PFD5MyLY8jTGPbOSKkGH+hI9504+bybu8F+T+VsX93RK/UteepatUkS
2862OEE4t5Iq8uoVtjRoQp3nGtcGYFSKZziWKDUhGL90ppF89ppAo+65A3aZsSFL6jh7pvkYk+79
WhkBdsekgFbB7jsEVFQ19z3iFMZtJL9e1MAgzujN/I7r5s3ScdMGLrhYnSSwd600oi0SqkXs7RjH
xpX5c9Isoo7CHckntiPJIlGHBji1B74L86ZhFXoLTsdxV+SClQ9tC2paBNP8yPgSGgWm/wseQ0YM
yeCqm7CbYTm3leF+MTWwSaQoQF4Cr2F1oI1Irn1y4+s9M2Q8cnUIzzZ2bS4IRqjTuc1NZ9NF97Ei
z8YPSc94TNuguAlhBZupDfZGZs54DiQ3wb7hmslXMVvWT7anDZmrE7CsFSZofBRMna17V0ElWiEs
yjw/diZoJa3BpJbMdrdI0RqVCZFVkFUz02vvDfhWLwzOh3vN7nBaeTpQFlSMu7ZRxpMBPOiOJbW5
iV1tEJA15eRjUkjuiKmb6MuxQr235JS8xbi0T5gZ+0utSbDf4BMi8wSThq2Lri9u34hYlNsppspa
t47Wv4IWJJzAprjeRhakVkEU+x0EPaQMjpli2U75RtyXST1rCHVk+BXoEcqZ2NT1hzBYZCtxLvKH
JHYkmvaABtqzZ4vrFEYLmjUaqTE3rNsahvIVGZ24StDjd5NmAReZgrh6m0c3hjVMHuqqr1z7LBpN
MMYpmoRQ8BZsmx15knBqqJ+wxGKW1GA+8Ba6SCaOYDmDH7CH5g/l8fJshoiCbdUL+HJ+P0c4xyeD
No44ruyFp428nyKLuQmYeo53jTCCH0iGlwOOlwgocvaC0hUBPFECZyEL5xhFAYjyKm9OnO1cQI0n
vhqzg/bj4Q3coS/SnmwtVveInp3jGCbVjTm0/WE2ou676cx4Z/PYViu805Wzqtpx/GknQe7XWefT
Q8AzbjE87wl5do4W5zaI+TJ7gIlrHQnWIlclnbqvIqkwQ8/2ZO4UhKZ9YhIGALourz50JZpoE3ZO
eaVFYvoNfPApxbx/j8IlQ+/hOA/4wflHzTnUhLglwxZ0bo1MiXUH9kqNcDe86h3fwwd0Xu0PbqDc
hTM5eI/arEOvLwhnhmPcRJcud5or2gvo6DNnC3TKzkQ0K9r2khtOdlJEbT3iL45XaAediz0WTBPE
lHfvM2O15ULu5dntCAoOQHkBMyuG7IoEIk1g4yRSPQQkp9yPKSu2iOLmRojYvme5VRwyoUfXRkJz
lelorfu+otUwYffVtR5BvhqCO2IObGgeZXjH2619jjq6K375GkER24DpHz9omd1boK/zZSKdodIt
P08BBlVR6a5l4k1nu53yByIuhl1dOuU6ibyHKW7kJrUz7Ls2o8tD2whUU8YwoqiRwl6Cv6krbIeX
Z7FomRnvNRrmZtj2tK9saDomHFqcB0QaJO27E5X2JRACdrZpgGQkDoQLm1cZxqTbccsB6FLHuLew
wSIZb97CdKxv2K7+KOtUpivVNtZdFEqHfILSvB8ZZ7wXjmtaWIGCsKXdZX0TdTxNgwj3nKrBktDo
ooxkppDWnfxWRQBIuhEV4hi9bIhbY+xeQ3W2hilfW5QIp05zihcobxNFp0fJEjHhTHU5xIh0KvKH
Ol09s09toRHp5Saq2nI/YlbxhQOVDQKVW+6EYZncpiHemLht83fCAJszu8Nuk9nAWdDRNSdIkdCE
ue7fBHIZKOpdht85FT0im8CikHUS9lbG3NHBSKKsTo1EayvzCpkM2xzGvcr6UJYJ7CjKWu0QaKjz
TGYk2MuYY5zbEWsPmpxKIcxvogerYOeDkHx4jJ3R/CqHafyMKVsfq7Hr6pWdjsv5HyxyDC8BXDXD
n3ivUvaXi/49fGZESmky5/R4KIA5jPvOddjDpJji1mHaRudBE+IzMyw33wwqAPRcw0amSfPI+Cgd
ceKLIg+POxhEvDL6w2ShXkc1irq4biyF7y+UUA2SIJteKjeV7G0ibyul4s4vqgiRC4EreKQCwsr9
1onncxcHnN7tINOj49kN+Q0NsiornZwfnkhiZnliAYekY8ltJWMVYAcFFXmr8hjfO4M2XAFJxC22
ysE6kcdidwYOwhF+/zpNzRDZT1l66xwAylPW1+xRZJGext4BktUGmnZgyJ6DDq+b5V8MvHSQmWP5
xM7WyNDFScTneWFZXyjNilvFBvWey4vaJeO6XAUWV/uhFbme+ijFx1fmzXID1Fh7DJfuKnfxK3Sh
N7Zrk/3gZojJKBjjTMD+7eVXukAsW8Z9W40UJnztetcHWwsVAXF1Xn6ac6EfR7LCbtGg9fC5lyF5
HpUr1jRy47q2zpvVy40G8JaAuYuBgJnuunntKMKPU1Ag9dNwfLbY7HyS0fufurJIsKOcuJXL6RzO
k+s7jihutF7JddDz/+bEwqMAsEC8CsRbtw2WgzPwDPJFWxG5xNf06LcQxb5GnZrv674vbsoUA3MT
6ZhLZZAfMqxdPzKFNTpUbn2TL3bp4FfntIoHIH6LnZowo2iPks051IvZmnqdMfGvDuxfBS//Xxv0
+F8n8Dqm5Qk2KVIi05GGpS/Kr3+sFPI/vsjj/Si+cG+BIfrb/qP/mcV/+zf+hf+RfxS//hbspz/6
uv7TD/GbpMgxfkEUJE1PNy1LLPqZ3yVF4hemGJawHCpkYdouMqS/g4oENKLFk8Rv8GnbS3p0A22b
UF8pfhGIcfj7+HKWv9L9VyRFuvFXac8CUEJZrRuM76XleHwSfxQVgesdkhDT5CYYnrqpPHPrb8Nt
REQ8RqMApt06ttjuXY0nRkroAufkqakg/+Yvwdj6caCt3d4EPZK/ewFomWhPDCDG6a0D3auHoBk0
+SFyP6cRI6Vi69rFL93wLuN2o001aoj5wUAmMcjpDnDI1tCOyv3mUCWixn7s5W34FRULSuNmQthe
DGf0j+vA/uaIW6csKCPydnUbTlAL1E7opAsWPiL7dRZNqMVBqtsjUkYz2VraTtgJwy29Dddll92O
0XvhzSu7GD6FVzw1rbgnfyjyY7w0uO0JemycZG0WP9rsjgF/u+rwhNM4NysDoGfGBA/2PoL9CzSO
hzADEmOgmp9YXZr5McVQzXLhxhhJaGqUoriH0F5xQ3SatrETqHYcr6NKkhVIn5/Q8eFHVuabSJgJ
mXLTl+EGK+3CDd0iB9lOJq60lnwWGyJd2uAnay+tbdzqgfEjdewLpAscLtNkrRBZPY/x9MTIaStz
hvomi7WE3nAV2U6+YtpMoxfFlzBXHQZ8+LAmNXvVDOtkPP/htbn8Jg/72x+DofW/5jEv7x2VgnB0
ogcdtNV/frbSXpAFV2oMEOb8qW61cm2azYWKeB/BjmPmU/mZY1O1ggFXdxb+KPRvJwg9nT8Jo1/l
DQjsIPAY82f7VKP77uDYJ7AausC4GH25HUfrYRGro5No/MrAhlCccHjtalWc9An/j7sBWbMinfEe
Jesem++m1r3blh8hYJhvs7auVvqm8W1e2MJxnTMvYWaiR2sUL341GH6JMQ1Zi88e1F/8aWoWl9qq
tygiLhPJxbaJCgD7uYdVLI/axwRWH4/kbvaOpv5uW/0qmbtjZc8YdeDtaGVYUYPQN3s8lfgctgqF
r1ucnSrbAQBfWbn7mbfTPsvEPlwq0k5rmJJ38808ttx0wcekSN1gOJvzF4KqBTGq6dOR4+KF/I7b
pHiUdX2u8XY31EfF+M41Rr6inKiCMTS/VQEjCi2CIZAYm0jpO4QJiNNtc0vI974y6i8x8jn2+XTH
EgjVD6HveEKM7lQhv1P2/P5fPybyr3bP5SmB/4PVFUcYYvy/6G7nZU1bD0Wwscv0J0rvF0TNRKXp
7xWFwNzXR92pr1WQ3s5dfxc2NfjM8TYGgaGnTbVtK+cmtbzETxrFBerdRYg/GBIwEPEKvNvpJYn6
b2UV/+TpRtz5F1EkqeuoLQQHOBeMLtwlF/0PNtVGVVzsqLAZ9NYs9KVxDECqzFa5HjumrXVmIZuL
3B3ucapBe6/lHFKVzqbL2Y6qIIeEHYij0WGjdcdP7zg8s+QWlzKGZp8gNbYz2vuekBkiJLLxEifd
g9L0p9mA+VrLr9AaH3KTHFqAw34ZobgJYvRRtd2Wm5FdNuJM+S26qGOg3Wo3kKIQxM14EDI1XKO+
vwykbig7AMBrF+eIVKotqtj3ypl1Znf9I9PJO+wJ86qz1DfYgIihpHqEqfHtRUuwb2x/21r20NjJ
a060QU2aJOrKb5XR82FV8liXx2FFPWyyNvfWYHaeB/RsBuiylVN/DhGcXhYtZT5sGn0VCoJqGNHF
qfVSKCAbcbQ3g3GTW+1ZaPGlabk9lJDY4709osmUSXf3ktTtU4VqjIC21zmtnnBeQfYtZr/viNtF
tGWQRlqFYm9VxYMVDXuBB7ZoQUUL9ZBF7bGTcIEk73tiAeJ2L1DAD6UaLgPZDTJDcqczUOtylBDC
23g62YugccJIbPnR3wg92wz9wC0Tv2Rjte+dbtM6kFumsyhv2oCp15Ic6mXERYBQal6T+SGwMcKS
4Bl1J48lZFIELzXfwt3kYMVKAphWBTKHdN5EA9zb2mi/0yhaQyu/dMIkoSx5q3IM2MBRij3iGMQP
hkkCu+2wJMyd+5JxOmzKCnDVgDdZ9ZcYMHaVmXhu5DfrNJor78WEAx1oJQsnbQt2sMCGEdwUvIYr
QqwvbZXuQctsk1I95IN9TcPkZMpp8OHDrqoZh6QG4wxhG6OTbtskg08eD0qa9BXC9J5ea593kcdW
AANY0OZPRlS8ho11M9bGc9bSj1n2qzVXjyOO0w1P9aEKnO8Z0SAcVRDnTUfiuR6e2NKQDdWSklGH
kF8tc75JQ24twpbzivLCqcWH2czZBlzgtTSmD6zD2BO79lVkJM0QkVquY2+61Gb71M/usXdUBAwv
3mjpgayaZ9tBw9vqI6yx5BHEyWsnu5OARU1urbfSiszXM2IZhtEfhbjkbGZRPzzn8Hlc5rm16V3t
TsNL/cZAfgWWdu2BCcLqem8A/pp42s1Efc8xuDO+Y+PoPYyT8YLaale286HWq2ugffap++3N4n0M
xxW27y1soR+JKQk2cfp1aFnXwPuJt29FdoupIeW4VTr40buiI50wZjK4EKWhaBnXfoJtmLhPOSav
lKqjJGekYDDTgzyTyU/2irtiIPC8eXW8RxRJQLdNpJTfXhz5unzrwgfiKHbEpK1c836B6oXNcC07
yeOinRMBeSNGETrfCKzizoR3kzsqts1D7dCm5Zv0V5of0Yv2Hfxoj+kOtrnXFmykPfFep/LV9S7o
9ZB03CNjiImkiF4qxKiEoVh+SEYdo6S8+4YDj7nL+xwNI9t6ffOpKXsf1+E+jfWvfkgIT/Ei0thK
z5/Q7LF9H3w5gZ/1SveQRCnhL1BofDfMnwlZCTfwas0vrUZj6GquX0Jj2A7lfLLq4pFkS7IIE/3R
S7W3kjVgmTKLHpPLHLTOulc1vV1hYK5uyY4tMrfYsHju2M4XPwjH2bmzs28ZUYO2qtfCpZwCVvKg
mRUxNUJtmLjjiB0+WlB5HRkwCF11/JkAkWznk+nl0Ruin+7UPXogXdZVIvdJMrHUbShNYAGmeF3I
CFmmA0nfPmaIc5ROosts3hDT8J2KbJ3oBB6gvmABo5f1GYckp695JizzdpraHfxA6ZuBwfbHnDBl
Mc33B/Q8KD2J/W4YVW+yFG7z/4pmljAOHq2Nwg6bygT3nds9xiLHwRsWBEDhtEf9djUi/cj3Jt4E
3gQQRQWoORxnyUHsQOxoS5hnbj/8TzWtS9/7o1RTTcZx2/zvX8ki8CX8j/bjT79A2Iqa9L77WU/X
nwzR2787MJb/8r/7m3/7+evf8k86TR26tf5rmfuP28t/q7vi40f0kf3tUn98/WyiP/aR//4X/NY8
es4v/H1iKY14MqmTfm8ePfMXD8GajkJ3aWpBWPx78+j+Qn447SS3kcBO5VK4/L15tH+x6RgtFkLo
2DBd/0t+FBrSP5dAeEHZXFoARwwJioQy/88lEHpxqmgZkeYJtidhQ9ekd05jwREwAg7u1Th2WbLP
s4K3w1E1syk0XF3llw4JwZprJhtbl/WB6b5ln3WRMkjqx5h/NkYTvwHH9wBqsvGoN5xI4fH/sHcm
S3Yj15b9IqQ5WndManD7NvqWExiDQaLvGwfw9bUQkuox0yS9p1mVWZlppmSQEXHh8HP23msDc6Wb
220ssW00LTQ3pQtin4lrqt69jBLXTWnGiK5zYYa4kMg+qi2ZL/nS6pDrbSc1ei9Ne2LSFsYm5XxU
Myy2bVA7PKVGWXTZhiWuAoqtfX0PRZC6HQKMlDpY4zLb1WPS7KEuDDbHDAVyd7YFdgcfbZXn6wkb
/7UAuH3P9gwhPq0xQDAxatjztVFjS7RVLn5FMYn9bR3SebVxsBE9FFHgZAv/M3yjHNPq91zypx8U
hXZ3FbxbDNx5sdSdVpp2yMYZviNSjUdX4fZFKPfid8fw2gMXfpWzNxLiHgdZs9G55R1NkwPHpjQU
kCKWBbgLGPufsDFNb6YOVUengwUN2xJlfLAUl861PTept8LRBeu3aqV9tXJTX/U4G2fAUHJfzw7M
Bmpve/PRakqb7gpnqsOd41e2/zpAfD1OddSa28xnL41xPbTq/TSahCZWWdg18bFuW1fcquXngrQ9
IxnvkkxG6qmNJmyGXQPLPPCq6s1q7ZT7E5nPOoyOLEeWIopKb/kyztkGb3RQqWJKMceRtrtcRoN5
y/AOKM6QHfOshppgBpgUHdxIWCLErwQi2LZI4QhrSpuOpcEq0aiAAje1aTEBtliyp2C+wVkfrXKb
nes0O90uTs2JII07Ym8NPe1sbL+Xj4M/HhGNTNi2hGhPRgZxwEmCxzZR4Q1mnVerInqSesWl4fOx
huXxaeb5sUAq12MI/zATWJtaH1WtQGm25664hpZdnLzFN0OaxDh640DRo02YhDJstc+dHO29rHCz
15eIgAVyNuHcOVBEPEV7pSjHXBUDlOgsoniGpoPo0+FSvodAmb/GnVvcDHbqHvqBirnQL6cVuVxM
PkMb3qZo5liM+vJBIsbcNAXXCIeyr+2MSThZjZEInsNsfMQzAEACgMZx6mnlqqVsTpUX4Zb2S/DH
o03UvUw+8AHaj3VpMksXFBtBtAl2XpA5W6egtdtku7UaAu7SZtdf6wz3IqVPAoWbot6nLKruePvu
h1Fg5uldZO0mibrbIIKv4M5Th+kopnIYgFvpWvuhJpQ/DegvrFTAodEvUP3s+/gu1SZwnMDEl99B
py6SVt4iYIRvoTL6TcT/s8IkWbxxyFYcRvaTM/D5J5bBDB58Zma0N/vCvzPwyP4EOcgnvawYl2RP
SAservANIhlkNmTRnXsYCxR2GvzmK+rmDFgHBm76kO14D7c5cKHs2RlGnLiTOyI27SWJ0P2LFlYv
/aHjWksGhGxy5zeDf/cuSZgdoswhbmYvLMootZYuL8I1bvkIDiw50bAs177Ihh23X7lVcE+3KQLp
fcPmfQu4jDYgL5/pY0x7ZzPlI0sX1kUrgPVDz6RDfIxtDJ4HXEAoViKwphfMb2zUsQXc+D54Z4+m
va0fgQns6uZXVRPyEr2qT6MH1g+ai0+1uROvyQbmd7RWeYyZwC6oDks/4JUXO+Q18nuhdos7p8Pi
kg1CHfgkcBKCnm2BhNTqVfsI0VU6IEn9+73CX/PEirlc2dCjEDRQsE1vmd9/m8+NhOIQPZXySH22
peHohv5JYZ5AuygcvXaHcaKClyFgVXGHZhfTy6PO7WBc/zf/ENv762vSlfDrgdKToXRc+6+bgqYP
6pE4xHhk47lPhrb7IHWk53uQr357q/BLe3cpfc/2NptzzVUegXrlqaSjSGmw0OWc4UWPFpUi3PKb
cJcnXAtWNtja+rvnztLZOK3hvtYdDlDfD4rr7NnZm6pRqLDkcZLneiA5VIwFWFUV1a88N8YOPIP9
aA3a+NFE2J/SXoXPUtj9grIM47cuJn4AJg+fq4j5NKlBvOK+byj+i8Z7ykoTteEV7m+nWaRnJ+qa
jT2VtAoOdngLObFcd6rpHqTMpzOGDZs8dGitedNnO3vM3iy7FPdIlCepTTTb5W0nl/de9fUKHJh3
ecdiooaKYrGlq77el5Rd8+6UbA5/VV9vVMup5Se2MNq3ARI8zBQ4vgJVq4GLgs3h3ESDBaHk9tYm
DFV8iHtKNdheRIvpnM6RtdmkscAgQyPwFn1JU/I8pNMPF8DsVolB3Sa6Nqw1HmAbbn6+yI+1b+1t
ooP0Zca29z2e46WkzVdHI7CeQ3fqjwQ5Q/p++cGnpNkoF8QERh9HEX4byt4f1gqN9ZrXvXv1MoLl
uD5nyDxjF23BJ2PAKOkoTkzd/bBB+z2qiFEwou9401S5u7fqhpfb8iolf2obHyyhens7JgE7qKjw
Pvyqs28sOySmAGr0vaaLdlpzCOAPr/zImh89t03fXSurvrtYkCBcT509vmZezQ/JLTP3poM6Fu21
QycQf6TGgxlUXvFJo3YfbyO3D3+xDSzru3//mFhft8XfUsaKVbH0kWdc1BL0V+sv6+J+kS3taOyP
VFKZ18qg+rPUcb1pG3rDi1yoI1M/LSMUxtLT0ZS3JMECQjwQh1a49ccTaQeIj/VshBuF8IcXCY7c
AxV89A44vGDfmnwg+BrGdv3oaOqmKitxeHnEeutJYilZcAt0oiUaqM3hYqq867iJjsEP2Lr2jvSM
d/SwONwD9Bu5C+LTtz3zEdTLbWEFdz44/EsYsKHgENmZInzkGbex987XOuZlB3lFDDsZwzJjI4DF
a9NgkjlEcc2SGO8IfetmIg6YDbI7wPDizi7NwdmWjhs+mYye+3BYUi5jbwDst0vNoT2l7Q2HS32n
UG3xhKBTbFwuJXoVO7Y/bN0xS09zLXLKd80GTSLHVfIpyX5t/VTRgZW53Z3FmE0dBDab0k6A2y9B
YB9tE7RBJoP3iOvoO7ZUMME6L5sdtVMR+bGaUjmaEiSX3aTbJXJaPAouj5zjaW+pFfBG8LzJ8JkH
PtRbQGAY73AMw8Zt/SmhbqKhnlv2g3/wRBPcB4MffRAJDfbQQRgxg8J4GPFJ7H2DHSF9SsMJTi9h
EyrBbngnzXwqlb7JEh+6KsHab36RVVu+XLdm61+AYCA5yQWhqp/FFPAEhAQmBt0h3DACRDuv74O1
nF2CmKCT3gfLjJ8MPE4vdZIX8PlmEa3LoeZoGol/z2wfN03u2Gci8qQ/GHsBV4EtwkMs72RkJs+F
oERvBUEY04LiJ3OKEf2ybd55wYWaZbH3sEbwXPuJfany8tH3GdhZr5K/+XoT4Xt27j2jCa96hoeK
ACHYvid20ak7usV6e1Ut04f5NYiYHTtmAinLgCKWWaXhOkALWrWMMPA9GGf8eAJR4hXWh/k17rAK
3FpfI1Bru/aut7R8yb5GpMIyDJfglmbrE3N60y3mpdV7WJJpP9iOZ4Y3c4XRF0dFPX46vR6brT1a
iq3LMqYl5cBkUoFA61eFDc/1Guu+OTY4yreabp1jbQGH2gy1Q4VFT6Niz7YmSZNDojxwhdPc1+6m
ic3yTIqUBor66zIwLveC1DXfaor3FLTtJwAvb3GzPCAW21I4tydcKAvQ15e7yiz75V/dsgIR5nmM
mC1ao3QPwLHb7//+oPqLYsoxZXKx4JBy0C1MxNM/3ysEV7rUzrhX+KF7E/q4I5tLNfyNRvIfifX/
M0rHU5nzv7+CVf8v3I5YyCTcwf71auT2M24jfhl/27UcPxG7//ZH/g7nkH+ghCN+K08oG2AqQtLf
4BzK/MMBFOrwu3VojXM85PJ/KOnWH678Ux3Q/1mGmPIP1HjT48+YPvKO6/8nSjo3uj/f8hDwwdYo
m3UNirpgcfHnz0U8eDUTGDaXCr6WsQSQwS80oyEwroPtaySTLqCMAKKYCzzUyvLgAn052wVIB2cK
Yc0t1Xp0gQPUpv4SJkK/snhiKVUItGz2FpuP62jGkWQI7MYtoo4y4RXDLybwUL/NMezg3ipptbTR
OnPaQA59PnTboe2jQ12HxW3sSKdDh+4GH+YW5sd1nlqArAiL90QdnKYpjpbKnHM88sZa9ZXTbjl5
jKtOGnzQImUZt8qJgP+E0tHkK6VN/wPOkVoLodW1dJP4xA0HYycDUHlRru29tgIextYUEZautJK0
LjQxUtHGsnuiThTTvZAhfdeziK9xEz8FpLAJ8ucDor7XfMebDa/eqqOHoOm8R/af2VXEibUfB6Pd
CgkwMp4KEP2TsUDWxLEzGnoEy2Le+vzotkT2iBTX+H5FEXEXKBYDnE/jeDlmZytcsoNt+mmFoC57
IJgPgXLpMIS4sHXJKH4bWTkRqJspX58FisA6ZtqhGxjgxQlvYwLUgdwkGRaKSmC4Za46G7A1K2hi
Bth3ksImmilvkBzwnVTPZoh87E3t+ODTKeIf6aq12pVIwvqW4Q0IgsrJ77Ae0/VRc1k8g2pnVYXS
G9yWKme+R/nAlpxDn67OcP7oEwX/HznsPJye/GgV+nftwB5h7XWSwEsBwe0E+C1ZB1AkFtiEojY9
JGsW7zyK1DaWThNOsda6iQcj+cZwyCakpZ+hSIxy+ZaGDLOvr54Xv+LW7dR4wQk/3HaMmPwquTtQ
Kzwqly2SboZHtbQFE0y0rdfe1eSGKpPraqUb895nPqLFgxYSTGZBiXVbZoccOFu11v0wvXbCCj9q
N07u2xi0u22woN8m8TSFF823RG1chkfRnbIGIyt91g+R7NWhkylNBGk47nKqIjJoM0B260qW18zK
ul04sKaKQftprl5G9FLqeqSpeRpu+o6fsYnJ432UdX/nsuZbu85yPWiK2240bwCn46Xsx/k+rTP7
Ch2GH5nBXNMQQriSubGBw7pux1ONDx5+eRNrHIJGh0zZWA3dLz5WaxZMo7txDKF/yiR47+ysuWAC
Lq7s4kd62TUekGSWNSDlnN3+NJanYm7B4irLDG6TtjUadjpBcSbz0wQM+2YMBFbE8p56yRamPlvV
NbkXeYXJ2rwRZyzyjdlU2GWkKpem5qBnUaWstj9C9CcvLvAUT98cwS/psVW4b1u3KD8zykqwZZu1
51UXxWefeIFZ97H5SrBqHI9RIl1ADeFA7ILig1SwocSacSFhlSYbd7JjfhVADFe6lyo/xdQHg4Qw
h+k5Arm0YSecv5rWiDlm4ffvsf9hFZ6ZzBJcHRzT+CFskTLb9dlrHI963/uN4a457F/62tcX0+5a
QFqieM4a18UGa3kSVgdVSp9SJnIPfia7NlaZ7obICHZDt9Dwi2m2b0vgXB/QG8z3rBmztWw69zDy
FHHCVhSWk1l40rFFb2ImkDaxHjl1+RkOXXk/O17wMzFa2hNkP382ehy2hSX4wib0U5KZNmzl/Rja
bvsELcBRXAxbBV0XG/L4ADVADlvZtqO3kzX/6TFMbHPTFUD7UD2LzDsE1pgGm7zXOcD2XFbWMe8X
cqlrcYXC3xDOTwlcTHArkdPZq8UXFm1IerBGgIfGYk21fnod3dLg9RLaXIMiHDNzbzqLPAOf0y/n
tfBLfpVZeAtNJrs0zPBrunRHSu8dtHCbFw/zTrtsFZMZrcr3NLerMUfYbPSzG9cheVgfoOfsWNW3
nkGDcrGUR2LVsuZ2N7KvbWgvNOLuapmDr86zSiaHFEc4bBTKl34Ip14KmtPJ/4hqA790RX8a06iM
4IlMoIRAEMnZtrYin1jJOLELwT+NQEW2UuIizTMCv2d08yjecG0Pfd5gZRHfylI0Z51HujxiawAk
UeHDv2YOJkrb9XgKWiM/l3SZH4DMAACA2jGuk5JjUuiIzcTYd7s2Q0Suu/nBGaSyUSWD/lGMqcO+
1yC9sOmShuk7JyVK+Sboye9NyJZ6k1aj99r0bu9jZ63IaKbdPETbHp8PwNpoycSJErESpWH6GaLT
PLtmpx87HzFxUw5TR1hL+LiV2B2MhuU8mG3tvBotVlcObOfUuiwX3YQ1gtbTdYbBM67J1KA8uykV
cfPJ6nhgASNl9A1kJQae3nYIPVKtTldmjAePuil+lTSEUmg8EV2DEbiHjmT/4uI09bvKYHV+b4ci
egZeMCxfXagz8Sov3MfUDD1DP+C8wwDTVae69Dv8+Xnd3RqSYlXED8t/rTI/P5hENcoVoMzaPriE
VYJ1YATBuPEi7ms02DUphVVpyy8aumaS37bjgPlZsZXGiJSK24YV4cTA3JPsa4ap4A7hs7IRMuvx
OVAI3luzsSnDAM5JSA74sZ0dWIrL/Xzt9sQ1t1jtOWgEXSt4x62aoBrZ6Fu+a3quItaMBw/P9UgK
sG9/trTb2Zs8RPtYBXCO5aGcQCdQEm3LiP1qHVPtKyIObCJhBtVXXa6vchTVvEYc8jQigFl9srqg
qEsunV1ttOQ52CX8ADafHSCHyx+9M8x0z39VfnWWQf0Xb6Z5W5UAghcgVfjuLk1hrkiGVyPOMF+I
qU2ug1k+K12TTsjaODS3dFS657wBBJ58FZERtf4UmIp5lQXN27z0lTVf1WVD7/U3Y1pBXI9Ejgmo
TEfOlKXwLPPAguwKgsB3yVclmkEdKql9e6lKS+q6f6fjtEG5Fj5laqFr6bcpyiETpFgIwi3rvfBs
OOwFe4i+P9FW2W0Hg87KLZWUAFzjr/K2Jb6ymbumqjmVe0Ltdet4a2nanr8hYpWvB2btF/b0xape
2uEwKNETh3uKPTndcWTi9lxI4VynjK0NFYA7Z4Jqp8TMmj1dGuiwDJUrnRfOVpDpxqSZp+2rjv0U
HCj9dbz3OU/YVVoLATU4dGFGFckQ6qeaHcE664jp2Esjnl97WbZuG1F/hM3C3J+jyP4x5iXYGOiS
aTm/RxTsDTFGPINU5qENrAHrwARhFVGMVj6fHQZUF0rvBC1z0byfYI1OW6NrxBt84FG8RnVJyd88
2i4ORbidc7yUANpfhYBhV2Gc0X4PyBx6SPpBoTWcoHlpEtTOEk/w1FIwSNKoOjS8LljchYy4cVY9
ULCjX4KlndD9KipsqSzsl+7CYYHyE0haKg2htyjaB76qDsnL4YGHTIupEM8MO0taEdFwmzcrTh0S
M0Nq/Gycxeuh6JR8CZZWRU4gYa17YSPzpEvvoqhoYERbCUHxSHoZ06WhERUctB10/6xa6Ym4pvdV
59hWOAwRFJrpXS19j3A+eDokoqB/5sHjYhgv7ZC+17dPRLTsCxlFC1eI2T4rG87a1v4qlwRFi0xn
gdleg9729+B8Wbd9VVIis/SfTjf58aGcY/+MsXBJBwNdL1ZJo3GZia+Ky6TtAEUvvZeseanANFoZ
vmHT9tYTHxUAPV91mSx1EYa4spnffdX2JxPkx1WD8QHNoZYr2LBUb2ZfNZwZCTMotxP1x7NPT+cU
UEy1qoelvhMRlSrPaGn15JBIviday2umBBXW09L/yc+MXOugIKoMnRktwYelLJR41QvOr+HMw+qs
4xjf8lDZ5slcekbprof+4/Z6y6mKkVGCQCF8uJSTmpCBYMPPU/icfLWX+tVSOUFPwccImuHSVJRe
rORX6enQNuaHvTShjiIK13RCW8Q2mRvJgFdYDcczAXWsyUubqm9H0NySubgjoLq0UkM2XPttxsEC
3OSoGzpsaYOvv/uZoFNQ9e63OI3mj/GryLX66nQluvdRLT2v7LDCx544yBs5CEEUC4cYrr+8vhmq
iuAphEcwRjgUOvhKyqVKFpwPCu/SL2vxWGxH7IoKW8lBKy4FRfE42VBeVhHf970v0QxKp4LV2Etf
nqevMtt+7LKXluX+YSQtF21YeFJ82ywduN7ShqvKgFT+0pBbNPYcgsuiNzfs/P7OW7p0IYyBaXKH
7JHzor6E1J9ifln6dweIaURieOFO8zQ8Aa8/kd5hojKzd5lw2o6+EyJ3zs+/rT/+iYN6cb7+thBn
j+FBDkU8ou/Fxz/NWuN3BUvZ/GDtqpth15jJfaXnjo4Dz9zgb5CneEaOh6EZbf79X7ps2f/8lyLy
gM+kkoafvvlle/1NNrNYxM2BTMc9PdoQCH3d3YWBLje2ALtXzfCHGcm8Y6t1/fPf/81/kcn4drlO
cNUXNm5xgKl/MdRWrqtltiDMWPnZXHUknsWx9ED8TXZK7SLK1ufX3/gfbdn++f7sd3PR//qfLeL+
H6ovYgdKKGXRKf/1Nm5Jv2TEYH7fx/3Xn/u7P8kl3MLYLh0hLctzf/Mn2X9AQCOmgo7MJ1gs5Tv/
WMl5fwCyZVFHf7Uj8C6xx/uHP8n9Y/Es8cmDJuDyJeV/spKzfL7S759lJGAWMah/vkWt6PJp/vMD
NKuW2iwUUHzG9OwW8jtNt/6KXHF+EzlTcImz3t0ASXyGVuvRdNEb+1qM2fcRcs8V4LW5Glu1T1yC
eRGeYLbbeNwK9Rw6ub/JGl9SHMebj5r7aK3p+Lsf2MMTZrHx31Q91uiI3snEb5qDipx3lN+11XpX
SNMdF3m0NAnaoBuC+94YcTDn9Nml3DzsJHgeo0DtmgH4uczdS04w/ruMSZIP0MbaEicPGf/5yqsp
B8GKrzzLCAEPCZQEOnF27EuqlUWt4ewoTAhYU+xNncOgH6ky7YkxbEo0gzpyDvwGPzUpPl3lpNPQ
m1vrIc7hxzXQr60+Xvel9Yvs/3gyoiCZMTyoeW9FzWPMz/a2jPNyN0Dc2bOOf+YNsyRrL73LD9Pv
KptmVL7l2E5vnKLb1waOi6KqrzYXd253Zb6PR0LK1jTfBC+tD+W3rUkAAgclOhHhfTe6FyBzm6wm
a4qHASZivTZV8avjhr3xvWRHqmkzqmXOT55qPzxGELo3DQi1DS+ZlXBMZNg5ORhTfw/UbNiGDOPP
fTy7R+4N2wq43YbYKP0hPT8aWYcHoGDRIynpB2aij8CdJMZHJyNmsqDuyty5dW3sSRkSGYl3XD1U
XiZ7BQ1xzerPPVr+PD3BQ32w0xpYGuJBv4FMPD2KLJhJu7ddte+MJLwdvStb4GfO1G4/J15xpxvD
WFMqcA2Fcxsl0BpT7zXMJgQuMBZdPzr7RDcADNojwA9iU+GrDnVzJryMuxiKfN/eEFn5lRaP6N4V
4XOfgYxyq/WUTwlGjS1J9LVYGHO1bxs0ts8C+bO+mQbaC9iOrSZZrJRSu5Kuv7EVz0H+gkYM9iDK
jQ2ZeP7u5FgLg2BDJZ4tdrVrNQ0u1qCV1e6KqGDOYR+8rwHpF6753QEJdOZm+wuJ7rqc32ycTjKo
7+xOrYci2ZSp9dDAhnkfGsGfgca8dUBZPPpeseN6VPN1J+mu7bwxbueI67TJC3AX+xhzClu5OAXq
/tyh33drXPbeXcYodiKcDLnPadR3t6lpve+pp6GHQ7HTbfpjRh73NbHDRYOHiHiJrEiw2QqbwySb
8KmVjJ58VNsj5oTpHXUVGkmty7sItMqRfEb2LaXr93HxwLEtSinsrAqKobmunxm/PBI0Wu860wyP
ZMXHaz44+RPAqfFJVXl/SkSVPzONU0QzYONYNZXffCcdIjc1e5sbR/vu1Xed6pIOSt9jPrJvXJPw
UCca891Msn4r4VzQzut7Z0xT6bGJfPd2bsropw2b0Vm19JJ8VnmaazBr/NTRmONrUrE9c4OsO2cB
7eiImoO443ouHrQ91ETILPOSp2X0PPHLuta+21z4qMiLzbLtkiNoUEePOrfu84r7BkvVG2bFcGlF
nO4T5uni8Ntb5p9cemzxZyFFwWL0LYdEEAe3B4b/K1b22w0kTVkk2u0cHlUYZjeV05TDMWmH9oa1
abHpAzFuKpNwAzS9fmPqdAZqSk4bTGK4dbr+2RtaY0fvJZqjTBazUWvCW8I7soM/wYDvxOF7F/TB
yGcudO+8QiRnkss3MvBg79b+fFd5JvnzQGXXKcT6wifp2Q2IRTdU1h1YYTDSmq27iib3qWmiaNWz
wbv1+lBB+CYz9VRpbRl7H4MTAoGcwXBFBV+YFXnkV1x6K8z4cwQOso2DYdxDAIsoGQ+c8t0wI/bz
9UDGn3rP4pm9hHqHBHSi0HXe0Vz00EuaZOOuWE+2t6kKhqS6k8UmFpmHLE9+2Q6dw5Tjfet7+6Ea
uwsgu8egkWpdlaLDYAuQImMUmYsAeKiJcZ9K3nktdTKtzSg/s2EZzkFTXmTM4x/HJFhwCO40UgWo
2WYikZOXqxqo449ocPWpGLSzM8LEgGfO8qlEduaMoaRZRmnyUM3kJqo+zG/o1ZWLzZWP0iz5VM2E
qy6YY+Vl6gnZxa5BZ4LLQioSdNeFsVffEOwSDyUS3l2U2pa59uOho5UtHy/gzuOrFp1/xfjF513p
qP2UYTEQapB29JOlWLEem2DcNcuTQgetd1bL02MtzxG5b7bBrephb472DaCp8b6qY4gfouD9HLUD
JjFelYXXtN9rUNLE8Hyn3aXLE+wvzzK0hvGJa3LxBOt4vLomb59qsPUOhz2lNsuJMM3aO1dwvddD
XSyfg1o9quUMiZfTZF7OlXk5YZzlrHGXU6dbzp95OYni5UwCsySOqTLjSxF6HFlj1+SvjZr7Y5Lm
/rGCUnbOuj5iqPTU9ySzpjNUgOok8CbdwXvgYPT5r89cQLwfnlTRfky8DppF7N3xXxu3PXoA5IgJ
GE3swVie+gmUhAgadgjt7HNDoTWYb1v5KWsL0sOJxr8SwLEHxODla5Os0XTInSgfbgqZoAK6tYsI
Jf123lj+6PoHXIKYFVE0wuqVuDOaIbuzClJBAa/gUIbNEF4IMZF+KYEywBrtFBVYdlZMmscupkBR
hGzWVyqCZr7xGaeXJiwXWN2IB0SQwvHylMcgKfeq7uxbmyXQVYWjez8a0txl9Dpvm8QxH9q5YWln
zwyj+9oDhr81GpPlUJCUPuVLVfDBtgYxRPk4oVaNnCNj2+cZN6CBACeyAcfm25xlqBrY1U3OFipg
fD5iZm1eSGlZDykmh7oqaqBWMJfmJNFsq6Zq3VnFoXWVwCTTPXfDxQM4vw0DcWUEq64OsLeV1RnB
mjsqfFX6xNZCsgkyA1xglR+yyyOPBsJN6pUYkm9V6uvdlOgfZkFrggKLrnzYQ4Go9U3Z8Yx6bfMR
yw9snf5psgIMmpJW+YHmsotd1g48GLEHXnKPLP6QlBJQdKbuzIBm8SiX3jrMsb71tSPPHf2fByxW
ObsJwo3KeCjTnndeTCetwft/K+bqR9ZCoON3RFh5qmy2EPqO1/nzbFbxL9fR0RG0Jn1QGaEbDJl6
NeqyezGVmDaJWU+/oFvxGexDQi3s5TqRrFk3yL93y/z/Oe+/C6RAGGep8K+HvOv3z2j6/k+jKH/7
o3+3Xlh/YG5w8MIKi8ArFIN/WC+k84cwcdkK+KlLKwpmmf8a8xi5uFoBFGN9zBrmv8Y8k6paj+SF
RzyFEQ3owD9COX+/IJDn+ZfFPQsW4c9zHhYk4Xmmxyy6jKKIO3+e82IaAsc5ndvdmPV0rosmxLzd
NtGtYSTiBSCu+apIXGRU18rswiyozZMqKLdQOk4eC8eKbxveubhGNXExN079p5m2lWoflOiMl4CA
U/QShiWJJwPg5wtRWeK5lWVtRoO6tBaMNjDd8Vm6pYv6R065KsTLnOD+WFUFlBq3yp/CuQD0Dg3i
thF5crCcSp28GTJkE+YUbafQbnl3uWO55l2fkwmL8O92FlGuyJ3IgBddMZ/RUjWnXq9YgvXBMK2S
2MvKk9XUDwVH8vxA+q20sSnO+WMl1DxsEtwWpFjL3D/NjgYYhWl8yYM4S27HCrOhXsENrD5R8Hrc
WJDLqVjIRdhd+rHw/ROtqlJuJ+1Yzf00pdWnQ0Ag3oNySYcXSPT+ZznP48ds6tI8WJgtcyKwdkq9
lzZ4E/p+AwTOS638FipWoU8zDOpfXSC7EgZDXn8j8WI+ld4icuLou7ccytMQxY/cuRcahBFVYl9m
yvuYmtgZjrZHJGxVBw05O6pZMWZEI7gdb2jKHZoFfvTAdKgk9ifx5EAVfe8zB9Z3bTQ/RsSDGzoZ
JrlF9wbBExELAmBa6bM0rW5fsOdSq9Rt0PVxq1FuAjMANaYeUBzjaj64SxNmCEHigpc/T7/BX/Qe
ULWQ6DtRiJMBhX1VGhkoG6DO2YqEHEMgQaV4XfWs2bMQDHhvF96KLgXL2lMyKU8G8uHFKdIffc6n
BQ9ySpUsdS/rmUjVo8J4uGonmHwi4/vuVQC8EpgX+19nLL+LcgxWbdxTPJrl6tVB1KBGDSei/S2q
JOy1KiN90Y8ftlkKaKGDcUhGlxdpYcZ7kVBOsum4KJy9Ln8grsLeuWiii+tO7j3yk//eNFl8DXXc
etsMjueeq6b60RAtItkijOxtaAAuESx2x27lxSGpb4lcHYMlKKJ0nSXZyKUgYoY9tYVt7KWaa2yh
dEteEFxieEnFg0q02MalSdbBSRZhyPafMscZ3htHchmpKE5c+1q5XHOGNlW7ZYtrH0QAKA4CUB+9
9qLEzh2PEcTSIsI4y5bD0PooZEfRoO5nm11xLmKaYiyFf6nyh+it1TFKSm6GXbkjFTqMl5pZ3t9E
qa7JqyoLvCGkQKteRwYVzLQbmJJAReO921zQWNeokNjPPsh75xXUcm3cUB4JwAQeddTvRracmD6G
1ppIAGnb3ekJbt8mGflFo0sULiwu2wqL8QYDe9hfAyY+zOgUi0At8/mvHiKl02UoD0z92vHpYhUu
s3TcBaGhiDXrSFRU7PksIqpZl4cuirsnkWTukfRfWD9ysYQmGBs4LX9qRIrLkJVkvm0XJzdbbDN7
afiHWlw+k/RnpjsfiSqgkRpWbo3sHeLNocyUwuWF7Iylal30JhwDMLK/Gp9Ife7ZOtwGSZW2Rz6Z
RPaqBQZl+o0DCAlAVLGgojxjpOLH8aUfn3owHR+2n9HxkUfwDAMYhcMKRQOYjD9azwU5jucaUK3A
Z2Y6u2xhVrmiqml2JZy0llgREOxM37U2AeEfMJdftCsOSEnzadLX5ZpvEdn/i42VRnbJWoyAD0on
Wfh36EzqOqRu8QosZWJLByXtpl9wW6gBPvpJVY14ei2ELhzK+uCZnb4O/5u9M1mSHMmy6xchRTED
S9psbubz7BuIDxGYAQUUiunreWBRJJMlXS1dG0ovKNKbrszIjEg3U9V3373nhk14Fxn0OhLAA+CV
Gd54744al0JSWQ9lX7F2HmjfjIErwv6KGitkXsYJfuR1k546ooBr12ibJ7Oy7FfMwJQSt/ZERBGS
mGYrAq6LK7IEuAhwbIz7Yk213AjpNTUgXJNF1Hsx6fAs645WYINMHOHnEsgo+5tbg0qmT7HAzdLB
dNh9mPnR0322E20fPXBbpsG+MX31RB5r/AJQ6/wQHR2ehraEaudWjyHH0rgaGl7s26SvH3GbjIDB
54Slf5Nz8gamHx/wO7E1V7277yuyatikup62nYzs+C4oekjnOI7fYx9W6kYvPLh8IcNBEsAQnFJV
JaJQHLIOeBxpEMz5NeseSAwWuQXsZcEGUaE+lGVfbwn/DTfuBU3X1J2Z7SaTPzDhIfOXrFPjrKNl
9UXnsCnPEz3nknDATM1lMSzlvGPJ3VX1WEGkA106z5MYMMaFqTcteD3XMBxg5tNi5srD2+rC4SNJ
+83V3GKrANKX9di6VgOxkSs55jFtjyUVMFQ/VA+uDeWvTC3+fwTI8JbfS/dRDqGApq7wBlC/PD9Y
fpOQX5gACEagBLGX/QI2XjxjcMENHZVpd8NPr3rHXz5vRrcz9hAs3H1tOdkmreUPte/zXbLQDXm5
jBTJVuXbtPAPG3zwybGqkRUrU1P/EtY93zcSdxtzYSsKDNrYLnU4oRwZs3ysVGFcWYAVP1i18QGL
HY1REeo/HcsDkgozs0cSiU5M50Nhib8fYevbRzep8reaevX4dnK6gi9j5lRf9YKTJMGGuwg8HL2a
6kKdnAR29h3ePP8xdCYWfLa7kIODDoh2hCspoa7bNTBrxTGHGSUrfr9poRiuXavhL1Jj7N47mVXj
acDzsOKHa77QlVR1W7yt1Anzq8uN5GGGidId0z0jdfd7oceynCYovGenDOxz6PpjMbjyTO4V9ubC
8Mzrup9XyieLunGLPnumrKLaJwv9M104oGCmvauw9fkHmW2KJmgWBWqhp7hsJv7jqLVPUI6G14S/
SHVLFx7arFTZTrKF/GwugNJmBDkBZCD67tToO1sFrSjmG+ssyuU4JfmdSevNiR88PFSLX16t0eBh
pZa+qnCNB/MDD9OEZXCM4wIcdCw3mJNmUqcLfNUKs/ojzHFqUq9UDbvRmMkgYm+Uq85t5HtVd/j1
UuiNn5QVuycniqJPW2uFkNQCQQzg4J1iatkXKJSbH31+S9uYM3NaZ4jvr10QN9+zQO5d2bW/mIZA
kl/8DQ8JNsRzq2T1VGNVgCjT1ug6Qdqn60GmCh/hHNtby4nrO0598BxUncwHHjsUBAgRxc8RmwrO
nYFjUhEvAYVFEe6qjXg0baY6q8o1ZtfmI0gzrpqA5sJbFsMu0EQ96s+uq92tfyHxlk2e39qp1Tor
f2CXvAY3DbObXMp43bWmdtYKl8hzPHfhE0GlPCD7Ec436ZQIWtrHqt+M/ui8saHqk0fS5eEdsrxd
bDlggp+Ot2VHRJ14CAyT0bmrcBxcJQy8iNFlF0DsXuqhc9wVE21ugTiINOz3btc5auWarX+fzhkh
zqAarEePW2cjvVi/JAi+j0CAKSW+sJSTBatcWB1JExHOruJJcoEyd70HvLWPvcfeC1MapmcaDAR+
HXYMTf5dxqP90EgO6oN3IT6nhgszq3eNH048es4L5e2sKch++ROqEU8h9zm8wKKVMLwHsRCk6zlj
OUXcDQ2gsSCQDVMXXiFX+++53893pWiNL2zF2aO4cKktRc9N1U/+b1z2qTzPsaqj1azc8geBuXuZ
hxEw1VzQLyXdPN04JFoy1IoFhu1Rizxt0opT6IDnzDvQ3ANQN6bBdlsoqfaic7tTmbS0MUypIKbl
SntrThqgW2UVxRUIOdq8nAIn8LxQu/ERs/nwSef4wEvTcZebtcSKSCgVMHjaUnIfp6cxVhDyS/02
CrZg0QIMnxd0eFpZzUe04MS5muTVmNjBMYUKxt0V0y4ykN9xJwtKa7pgyQWHFypo8mLlcEGd1iLn
t2DMLXjmtQ9Jy7Pb40i2a9sEXbFzjGTcozhiBEqn6Beam7rFpML5N4UGzNiR6dDonH1ddviCeSI4
4MN6D5t1Xd+NlZscm0yqnQnp/GCqIT81sa+/h4XH7tNuHOCx4mkEzLx+WoKzOy8Y1GEowviD54xa
12HykFYczYoFFo85nz51TLgrv6+jk3T7dM9iYV6NFKac9cKJB0mLRp4O30wPHX2JmIJW3MQUGFdD
95M3FdTgbCgC9iOUlWSNhb5PqUIHeRZUiAGo79Q2GOfRMrOrUOX95xw0P7OErbkqQIxwnTKNyaSK
jt7Uwts0rHnPCBTjxSW0zX9jW1yHqVux8XTtdVMROG5jiPpoid59Vwq2a804ticP0vgZOrw8ToZs
sk3gtuLWnV3yYwYlRnYdPfGxv4e5dupH/WLPg3Pn+HnANrWYKW3P5QroGVVPgPTXIdgiBrc5S+jd
6CqS9GBpX2pKAl4Feiqm6dKD21Y1z57oxs+Ulog7b7aIb2F6zK4nQC0HzxqcYx0RbNlTLEUzgVhK
CjzaCnKpqCovHTQC1R20SadBXmnqDWAP6Q9enZjUc9d9U1Pdg5lQ12VCPYIqaMdoLp0J1KLEX9ZS
pBDz3GAfNdY7BFhSFB2FC/1SvZAVvX6kTIR7LiAjFTMq75qCyis+ooZ7ZPlr3dSePzx1Pm/zSeV4
hDV9ZlgrA9rvIFdRG6aTVTfZ6ouoQYwe6o8nN4yGxyh2C+acTuwGFjKH1gMAZxum9xrg1gK1KOO4
3/SgL8SW18hdwaex2dIug+Or1pBoIFoQW0QQrCgjs6DAuIPJws1jamMaNmz50ZU8njYJkIXffhF1
/pMfj8G4Nq2qYjLpYG513CY/rWUMhBiKcjxkc1pBQkLTxc5q4TP1jUzGd2UmxUuUgvvLjLy8qzPb
+rCo0qTUoTB/FDkFEwdqAQ9A8nM4aqabnecXDBL+PKYveTMOhHADaaWPUqqqOsC3C7Yg2Tq5DYpm
pnlGukcfBeg4Yl9kXhjt6s6kIMA7LALJZ+wa5rbPZwznTj/iVLWdjjusqzrj0VQ4AbsBBib3i3zE
iN99WgXQJ0OZ5cFy0482o6/QZvdbbQsd5xsxoLMw1xXmxoOt90RPSHdQ1Wxb1/E44UO3qxbHoKWs
2d+zl7INAtNGhmUAB2TwQkuAJfaSW9NeqahYnowEJMgSEgTK+A+Bn2mGuinwcmd9SFBajPommJ3o
VcD3JdxNwF/zt/nZW1ql0PXisKqxwTfs3y05FleGn9nl0xB1UMQ7s/fO5QiA50TXHk6nOZnKLUap
gVK8iS+57b+HZQNosmF825OLsn1OpBSWm226GBRq1ZLM5MbaDQM8jTyGNMloZjzJIArO1LVgsiUR
Ccut7j/4yqXtDUe+B+hel9ktwALnu8h08IoyI1YG9xEvaenuK5yHN24om2+njXGxp2Fsn8dGmzsz
TIqfjA6g6NAEWYohMGlz/O+zPaLthGXr8uJDMFjZ0moxoNFyYJI+lMN1lttqGQs1hfFp0dB0gIex
c0AyVYSjyAoMLKNVDfy5SDQ2j9QhT79S2C4B/WG8tQ+KSSzblf4UYNTwe7HB/QxKymmlfrOjZnkq
q5rFb6qK4ol6rsplD1/o24rxhf+1xKq2Tko+mBA2wty7atzS+cSH7mBQBsC9zocp54XDFcVi3JAr
Fi/j1RBK74v9jHz1SjN4m70KUGvcJsZdHbAEXSsCddQi2mraBVPHExbTS8syuy9wbsicxMykyQGV
lKs2a5qlJfjTJIg/HDqy9pWnvRsKKgP6hmHJGzsyVTCiU9bvHvqHQR1MkZ+ou106U3jzvGXKUIRU
Pd1Q++jZd6Ur7ENBRxDue7IvD5VRNNjx6RhdJy2zx9rCEl/wI4GTYmbgD/GAlHxJSuyPctsTOG72
kVXSCroasOXJI8usiAVeaWb7HFDKCGMxGt97jwGLP0mgXvTkk2vz9Miqd/Ax7sKZ72ZquSgFok8g
55Wsi8R8CliI9eyL6VvAMR3bJ0/1rF1it88+CcvM6BbpaJi7KTYFZvre6dqrkBjIa1Zphi4+nl6w
IXe0xGIckJlvadqpfQll5wpBhKLpKrCrPWpt8VM1pXVNRg/aeJET8FiVym+921TH3QsL9+y1GQRt
eRpPKX/MmdjOOjd8glWpo0HUseGurjrANODB24DYuu7j8KlMW6b50eL4mTwz+4qmoUMHsazGOnNO
ECyIhYktVuUujY7BiIF2HwPbtolM9HrepNnof7eubp8pEWGHnWP7AaxmIemt0o461jghT79iFjDy
ba5b7OR1bdrxJ1Yf/zRauG352mXBTTamUvGeaBsObJJsxark/J8pgXJiQZVlN/vrojIXJHmiG/oy
017eZGUxAjqb8vHdizLqPMlgvfNNaq1zK4TexzJW+iyFhcNkMDAebwxbLY0VaZbsRmupIF4i4s2a
a4lzZayITD9ndu9QcFLP5Nx013hrXDUu0TgvHPYOkWZqBJVbr3oppjOuXyh0TJFGvCa7zFpxLuoi
21oJrFiLbIIEwthULSMTPLlG8J3f9qkTwUICF7tuOypNGpGJYTXkJfJXLsIOKh5nJ/j/ctwZ9SD0
eQJ+0pA/5JZZF5NERyPBjJikfI9zYKb68wYzGH0uBTcbI5g3VZsoywC7Yv4k5UO5GH2vYogRi6aa
33BsjCq6Vrpyo11Rmr/xcAcPbcCqE8yjB7nJqOEEU7hC/stNClmsjELSe6Y4NuOV1zXGfcyoEbxY
6TxtY69PGWCyjtTbYPbGjrHeAYvrVNMH6IzWJX9npQ+ouARieLg2G8BC6UNeBNPBp5643yW0j77I
VMsTztj4ZTE7qVUVyAw7TvEmDTva1qnvw7nkEiFLagGEabC8bfQYVZ8sdIyfOpXTU1aE2tgk9QgC
ii14N50KrsJ2NQZFecMMOQaHZli07LwPv3nMtV8iC8rnWYz4kNiPqi3DWnJlmCyb1h3RG8LpEZl5
2/MsDtXC+WUazbBDtbB3I4LCCUnHga3k6jsF2YuuoXKBWc3+MB9sPrgPXTPIh2ge+QZkmCTgFcTW
Y9sozuxuDrqnnHzeeMKrJnf4NIJ4h7sBemlpKJQoUypv3kUOvTqHgI9vxteot9Et02TIbhAbSGXM
s9nPZ2ljk8RS4tqsZ5IuwICSWyZdcsljApVsjZI4fQqMGrYB50+KDJNWMxfDNwuZhkmgsd54k40k
5PMs8R5zRpNVX0NzWqWUiD61lhk88RaNlxgYHvK1YBVl8Gxrmlc2/vVvnJpklewWHYAwmSh/WfCr
qOO1M1Bo3ojYTwaQhII1Ej+jOwASYtl65f7/+3D/K8DABQz/n0biHz6zT9Uln9XfXbj/+FV/VrM+
tD/f81my2jZjiM8C9k8o3gv/AlNApMEVJrnAS1z+H6tZW/xlskX9Dx249oKXd8PQtW0RmMJ1/53V
LL7df9rMsuhYXN0Bfm4fT7n3T57umtInehc6tROUCy6E6+X4sgqXo0yFtXfkm8MBh6VKefvwcvA1
1NFWm3I5D1VLq9+qhMh3svrc3g32aJ89xpN0XV4OU39oiWbNl0M206WlzyFHr74cwnnjD91+am2O
6L6XaOk84wdwo5zhuh3ali0bNXg4wmS71bos5d7DuvQ+p+M4bEyecjQyDxnZSfR2BEFRRfF5DHrv
yyY4tY19LhXYEwEmHhPCixEY21LOOZZDHKWy0flDb/E+7S1hfE6X6wkTqPdFx0j1ZhFaa9ccO1xj
pRslyS6mVOenF372WoCdYRF9ufnkwHC792kOfVTLrYgXiwtSLHflNNHNDr5wfLdhf3ELVUIifJFt
4il3uWwvFy9rxkRs6FThQvYul3PPwyFa9S1nFK09trwtsbDkq8nU4bu8XPAsm7js08vFP+SNJkQI
GeCGB777HiDKLy0lCbZiJ6wWIdguMJVdnhQGjcf2KehRgveKgJp5rE0qIhmW9KvWHfE3qwMRdhZ5
sYzSI7j1BgDAl91pUo2ZI++K5VGTmOb4HGIFI+B0efUMhGiuZD6jvNuSbvKoGORLqSpe2ZfHUulq
LCPV1BDcEbN2X5LLywpBMN40c4jlG2xh/WB6cdagLKvxBRBMcYcXOblHu6cWIOLBDYmHB5y9POWy
P886pjc/QEpa3nvB8vTTnYRH7pmDaawJ6fA6JIF1Yf7zaETa4/0YXt6SJoEkYletqPiZcbECaxfi
iU0yg10UeCDpTSfj9Str1UXM58uTNby8Xi8PWXpBxne8WsGZCYZpHMQCj97+8gBOcPtEa8VaMVy0
64rqqj+v5CGz5ba7vJ5FbfRsU0N9JlRu3Ws1BM95hmMxpKIJ5iHcuXId9uV8xw6DVzkDMV1AobIP
6fJoN9EwaYZhctoXXHh4kXBdv1eWzk/+5dUPb9b7lp3wN+ZlKiA/2V2l0eSx6xmZI1u3GraMld57
GGeMK6WZmtxWkIsQSXsdMh1KiyEdUfIY2GOX7eqWtamoebath9lgbKmHLn5wZotq2YYS9DcBCeo1
E0Xw5fWBc/KHHrSlWGahbJmKnDp41X3K9ru2B4f5yXQ+2Rh64jZGpvbIEC8jVrhMW5jxholgv3au
2p7xEUbfgj63lynNrRP1hSE4YHV4GePay0hn5bO2D/lkMerFqEW0EpCip/UGp11yai6jIc8cxsSE
ViKcel4oYXb/GSUvYyX+gQFJaXTMDb4RBs8wIHO0YpfNAzcR3cQFLkIGVSKk4WftGOlnfhlirWWe
nZbJNltm3Ipv+LzyhUq+kWzqG3+ZhsFTzy9JqD0m+GVibpfZObiM0eNlpI6X6dqY6bnJaKJjr1uH
Zwic8TOfqGxR5/lUXoZ0LpPpPddTcYNdhiG+FRjBYKnF1t6FJUrTud9/Zy2pdz+mE3Ja1IDqIgzo
zNTqVF4Egxii4yOHjVsC7aGxIMiM4Ma66Aye37RXmAHzN0RBdIigC9AkRFEaryQv9A3PO/FbDwnq
RZBBJifX2PCg4vtNhZhV/3Q29vVVftFA2E3mwYtz0Ub0RSfR0Cj8vXPRTwbHpeAczwy6SrtILP4i
tgQX3cVcJJhyEWOciy6jLhINWg2NauXBXuSbzpKaOlYkHb2IO9Yi80AANR6di/bD64tcOJMZmhBW
D2urp7n/JLtsg6te5COg0ihJPa/io1nRT+kvQlMHZ1luzRoQtyntujq0Ueekj8IpR5e/N0pfGh6O
YqUT+nPhZdjHfLTQtXJnlhgwB2H+6Ej6t6yJ7A+DRuk7azLrnd0ghhaoa+kdFRQlB4oVu8Be3aH6
yBZhDdbAaK/1Ircx0CfrJG3rYGvMIChwVRSD/0TvQv+byc4CzlHiynH/6HgKExUWSRqJyInWHS6L
CNUvrklPYJFBC3T7CSCEO0d3+qIVYg9FNww6n1PLWeREtQiLg51HB1aeYkcnSbF2FgEyX6RIy7Cs
Q6z7hJQWQqU0g34rF/Eyyjv9riY1RKu4XBaJDs4Acsl8D41VUPjV2e1b+5Yh70GzDdrYHlTDmPUk
KwCDJzvRwTp1o1Nqw2MmxeP8jEuXbszEtaZ7jgbHXk4bZ0qRajvWoo3/iwXjVxc7xt5Mi3rTRbiy
aAlMzWzlxqPz2uUpqmEtOYnJZSrW/FbtDPbRIQprrycYB/I4XCqDye6z9LYNyj/QbCdcmjFx9nk3
wl4YyUsEP/WlltgyO/MlQcmD7c16mopkBqvxhuhw9RMBviGV3PPUcRL0E0Y6apGdLmNwoA4MvEJm
bK2lPlkn7GOIPlJfxRdCbWi2zY41m9st3aP+AwgtWhn6CCxYH7JWClLrd5BG3XsR2GozzhOIdZrg
1vnsOelmEPARVo4beTe+VxOsCYfK3OaXdmhxaYqespqiRIe9KMzWoU/rdUC8vNrAte/nm2YB2mxL
PjBUVEikMYyuHeXVfRuPR5ka9k3D1AN8cbRxuNemtknlYhM/hrOtfgUA4VelV4CIdQJZHMuSVBD1
qaL3kUBFcDvPKFp4J9oQSJoMzwJ7HOkYU4OOk8q+ctsWLF0EYuBLWksZJlj46UMgT2cbttnAKYhH
Eb7S8AR8xC0Tq1IniHQfY7Ki+3LC5b/J+a98bbZYgFaAvnyPZa53lZcI+gRbA6IVTJQvPKLYpmOP
tr5VM7Vvuu6Sq6J0gwSCdMAOgUtpvInbcDGhhC0Kkm8uxFllm9mt9k0EFxJwHStDI5k3Zt613rmP
0/Lo4kqG5sBhh2LaLrcf0ghKPTBcTncCX9es2HH5jiTeNqVbePcDSLUXmyQ0QMogrSk68/23bGh0
dqhIE9z3aOg1RHwL675O+Uee05oVHF3cEdU1mWIBZzP1fbpe2NxbsvQeItX6AKgsr6MGoJ8pGCi1
xeekd4kCwz7TtF+obNMGSzUnzqNhZfAwvaenfTjpaBm4o8Qk78Qx7r7Apce9FtcJciKl53mzDRJQ
1a+xm9W/gACiL+QEuvlbhuV1lCVyZqeiu+KTh0L0MAHHi88Bwr1Y1U03zSsmjpjCgTIlsMSSkRUY
B/SE3wJI8EseOSZkF+7oW11P0anSPRhEDBS/Su2aD0PeJ2pjyrC4T+bReLYaEb5YRCL2Vh+Gv7Td
i+eJBN0pcF3jfRIRClPUZPP9UGf6nfOX54LTdDQsl4HKUPsW6MawoCkF2+PXOp2YpjV3zKvniKVE
ctlLcAiILKf1IWVT54Q2zqrYhgTAS1nkzhEfHa8YRSScmCCv/yvP76FG1X1iH1NFCcyuEbkL+iTh
dkPzhecJTDiJ0yv6XvOTq52pOWpnUUvSDNf3hj7w8Dd48vJbtUHQrItBV9ZWMUvRSDFRJgJIBN86
/bBYatZ8ehMHWGEB/8hm30JX1jwMvU1/Rh0an3Wr/MOEzBvUG9xm0LGSKpuBLsw9484GEFodvLFh
MYMHF21c7UM+aRJy7Gi6EEkj/emiR6spJq43dIjW3VjQhocxxdiPleMRtQJHvtUzQJIziqMERWI7
vQ1yMObBijUB51vgPkE6buarPJqi+zzkTXBXaBO6ODdCSFoERytuvKQcNMTFINZbC6g+RSs2TQtL
ABJ02pTiDmya5jqZa55H2IngIlumLJ2bDspidOXSTZ/cBoOvvVsvjSKq+FTabUZ8UvdQphoDnhlv
kqepEKw3w2aCoqjGOUmPrpmlbFNitvUH0FbTtMOKMKmPcp7EZ5hmENXlpN3oI/fiCpF0jE3/HEPT
oHpHpQOAqlWvUOYtdMiUBdmURskmnizxYXs9Kfm2awe9biK5KEjuFJ65vpvhQDSEpCRRH5ZFrjIP
tQCX2cWUZfIM9MbHpGIFR/QVS+QuaVGaVpWj4+y6Jkrgr2c8wfhscsJ7eHF6Y0MplrfHVBVGV3Zb
jzBiwJw167CK/OiqavTUWAjDlphW3Awsjw3DK9T7mPPcls04ldcFLQE+Yie8NEAWpPflVSXwKB5A
rSwBehCVyQuXlKeOuAkqnjliGM79YIP0I2ek+vIZAdTJvky+w/V9rLsJDUqCeEuaCD1bKK+/y5ow
fM943LEUmTqKvhV/HJY0bTrNBzOGXHVKDIdSmCByfYqHYMHvfKttPDqIWuMEOeQ9zGDzrhqT1WKS
S+5EJ5Ifhj2GyLBivstUTLlKAxm3TXOSP0Tg4Q7Mds/GYfQk9JGI7YYFGoY1KawpKl546x1N8F7G
BokBnl5H/9z3FLe2TU6elAxv+17hqGOdqyFsrbVH5+PKAqp67O3GcFaDUzzoWHE2VezXT0BeK4tX
C6XKdG4TblwTsOi/lB+QRFmqqDxuobZk1cYoXBxS1RKiUHR3v6iY+NdKBpR+rQowMrcTKGgLhHPV
L1DcQtD8WvXC2DTkXqj9KZMRn3MrFoxV5f80HP2AkBtLPStwJny9Mtl+loZXHRE26dXz/OhMqlTp
dVfOJj09sYu/ey7ppHGLGMcKfr99KolcZ2wmZnzH/OfwMGYBWhhpRwOVf3DCWPDrax+c2zCroxQV
jb5KxC/TlHavE3zCbM8yyLrqbdM/AmGfyIwFwBZiVj6S4r8yEGu/NkW5GXqXdtEKrwm5RK2Bu2H3
LakR5Q/20qDdnwJvxu1JEzGiegVJsdlIhn18g5HX0IWSJvRF4EPqNwPmak5s2qm3/2/VzSXm8v3f
rumE77JDDORfZ0v+ZVvmH4rA8ov/IWFaf/FO4n+lRpM+tQu+84+G6QsqMm2PUIPJl9ijHO7/xEuo
yLSJ9Af0rVgYt0P+cf+LIiD+4rlDNYkrXM90IQz8Oxpm+M8SpgtNyrE8k/9zTEgk/Iv+TuGQLYsD
pzKdLaf8b+3zMm7dvfTCpywCKiLAdrLuG1e9ET3h5Lsn8PhOhA9+3UfCdbQyjfgUJfNLrr29pEvT
pAEyQ+1qrzoWyqNf8ETur5NBvDSWvc+7eCdnd5/N7QGHd51EW6eQJ3PZaAY7b+DXNtW5AO3pNMUx
9+x7r3VvXA8VqHHunci8AcdleTFW4mQ3yXAxODwGhnycx4jOYZtpgrd+KVZF9zUXj9OCWCznvbsw
6oCn+TI4ktU8m9K5qZzxRdrOWnbVHbrAVk7Tvig9ODvdBgnqaZ6w7gaR86S8+NAO2W0ZsSXyk7Bc
Kbc9zEwH8AKL+y72D7aEQJm6/UfXhk8iaN+W4nMWlM7ejrwjLOktque30YEpAETgZMWfr+C/zggt
P6S/U00uP8SFL85lYvKpWUgRf8sUT/TlgWUznC1NGpuYBEbpl+d4aG7dabrF0E81NoEFxvmtQRFk
z0/mbx/9/yDVfGkx/L9+A3AtCD0Jz/2PI0pNGNShlUZbA0CflOk50O2ObRdFGJMLKD6xbp0o9/Y6
4gZq5pe+Su2za7rGEat9uvJXvya7a3czEYQ1WjhoNjMqt5Ssn8cCzitGybVHm9tRsPgrZ+JCjsvL
k84vUoTgY5BTBrrq7JBSnoLbA0/TIQrtUzPCM0j8iMifslgqkXCi7OVei3Q/M/uu+e692o11inBc
Bpk+0V3dXNUoXqd//4z8r2FW/uXf9d/wmOSVCbPnXx+R/+M/K4P684v/HJGh/xfquhUCPrbIErsL
TuXPERmaf8FScTjsKFk1g2X/848tj8UCCDbLEoiwllpNYCr/+4T0/gLlEBIwBVm8sFHsf+eEvPzb
//btgjzF6cyXy/onQFGNOyPJAOYdwYuCnierQlFix+bgVkEzeSbq6WwlIax8M9gNj8Kq7aunqjGm
bZtg3dIxnpjzVA8mGkPnzgfD8jDftib9Kus6MFmrD2LgxucDisoEjoSDqwrM5OhqWBO3o1O0LcvM
eXjBoZk/TPR301Weh17vnuh8Da7nWed3CZUXTG0yWki7tt2tE+CeIWMOiPx1YPbitoB0JjaR7w3X
YUSiZRj8aa+pTDrNLNx3BWDB5QE4HtzRD69oP2M/byFOggGPadKJuhfelHLD8Yz7U4cpv6kez37H
j5Tz38Wti0F8RfMhqhRS3hrtfp4OgdcayAO9OfTFPq7NuUFvndzy7GMG30rwrbi4fX9ix2I5xwIv
90zeWRgPsEHkdqw797aclH2nGAYfm2Haznab79IUlrFZzSBN+sykKhHQCO5CI7h1O49qTUPaGwiw
KGBFI3dJV7EGElPHxORNd8FA+bkBxfKT4cAlMDG3xINRR4kj81ugkQvNM8BZUwmdfqqe3nWOn+gt
iUoid8L27tDNrAfReQSMfIl7WOFmPs7MVNjIeVNfSxV6d2lfWndzGVjX7hzigeUjc9v4jflIuea3
XzvjQ51QOWMPWt+EmIvSK5KHVLlWyPPZXRBPbf9cTI58Y+5Drwpy9qP70OndG8SD3tr4hakkBr2o
dOZHq5nN+jobovhqMC3YzEL05Yd0tWleYQlnvCDwGicbG9yBt07min+dv1RyUECB178GuLuVRiuT
XcWm4Hru+WOv7SxPdxl/0QfKwTx3GMCuXKXDUhaCW5BMN8/l/AHWHJUiwaVeRIAqockXMY9eaeqv
FBXxrP32laYZBEhFTq4ef0J8Uy5NNdAkymidO0F0X8l2fgPB5/xCqdKHBLgdnZL2ojFikoW+mRGe
HANdHSSBMOsKHTgYtwPWIfA5WX49x7lzA9dQP2CIDd9we5lPaekYO7DY8cNsUCa4slH3HmeukSdz
nun0prECN4RTiCvMx4xUjUOvrRso/5zkpEDW5DzdbVd49cksh+bYOQDjWDOm/tsUDb97qY2ltFhZ
ADHczN3n+TR+kHtqyYWMmoCEIpLyqUTSP8Ladt6i0Yf4aJUEUdlETlkLLa+0P0pwx/0yIkfWWqpm
fALiWJ0zHn85dhQLix4oNPfg8Hwvto4orHhlYkndpfbsfWvPyQ7SwAi0tccZBrnHjOkcGD2RBJkF
bwYhS0pmqkXSLkWXPBjs5K4d7Q8bMVv9jyjR+NaiU8GrWYm2495OgvAJ+yUsQT1M0Qo+Tlqu+XC0
HtYfYb0HbUvudhTts2gdN9kpJ6rC9cQm/mTgtcPCWJdKbwSqVrGpo6ZkmMZBal+PROW/0FZZ7VUy
aF4bqHmYq3Nfzaehk251mka+fTuj8n0a0FMPdEWGpX8/t4bfH2SicZ10pjqgVRvPlXKTO/TP4Kse
ze6RHRNA8xqoGwloQqDDuqyzlO8Nl7mzbnkO0dojzWMZz9G067q4XMrJWcGvO5EatxORUXiCAnDK
apwL43dHXzkpsdIi46qUcPnE6iFk1Vrpd0g99heeRSg3ltP7jKuNF+VrmM/xW0XUJdzliR8fcxUi
EiUlZmYqMogNbJrUZ7Nr9ASFqPhuXghezQOrypFVgyEojeUOYKmIsMJ8bagxp2yeNaVqs/A2C6Lw
oU2s6mbooAStPNWyrmRI2P5P9s5jyVIszdbv0nPSkBsY9B1wtPLjMlxMMBcRG61hA0/fH5HZN0Xd
rrK0nnSb3UkNqsr9hHNg84u1vgWLwMQomWFyZTDUsWadQz95b2xN7SxEhGqdOIxvCHrP/M+aNf2d
4NaE6GLlfbVuihh8a+ZmwwiVK+3IL4ptl0EYV5SMVlAVH8TYWSWK4di2g7qYxLTKQ0SsDX5PA6QD
ywiCP6e7IuyKt7QunXxPE66Xt0M6RvthNp13wYwCjO2UdTeeqObXajTbl7622h+j1L18rXXsjlaz
ndAfq4xzliY4OuRNHg1E4WiOdpZUlg7ZAlpxiNgLrAxIEk/Aw8zjBLKsOaYxA8gdAiu83pKp7U3h
R83V9RaTQVTP9yIm2EgNP2dThj4+NCbV+dpA6HYgCk/IrTFaGSNyVfm7uecGQvE9le4Va20Hv5WF
/w76hPUOv7c5IPErb3Qj5Tf6Lp233QA2gpxT8daP2oaBil9r463WKCS0maM+XUt2X7LKcNn0aLrQ
ZfS8n4OJx/MdUC9yR/xXLlsb+vWh0EwqWECBvJmT6ZtUSMADriCDad+vEhISq0i1P9mmQ1DzfKFj
ZIK91lyvhhLdd4/UxYmxJlm6pBzIrELupKYmVtx2ffEAY+8yVuAYrfvxpSqtML3mWi648XBULkHy
8EXXnJBUzswz8tsqbdphM5BvGO/G2p72he6WC6uQNzRcfsK7eK2Q9KNnPlueupOfczNbp9bzUgKm
6hFwp4/edQn09ppTy/xWDyyq8OmoMvibB4Q1ZEdABpreKp/KQUcy8jTWfv3dSRVTZ80vnh0njb75
xcBOE7WJ2inW4igv7G4nBGlKxCN4q1kr+h+poSbo/hYkZjio9GdI2QzjkEXA8UDYgThzNPuWUqpc
I/2CBiSAO69y6TqfNvvePmCt7Ty6QzODEtCtw0j2D0nxOJtvMqz0a1NL8UbC4y63vTGAASrnChqw
azX3lubEI8940+I0QYQfDHydH7PnuNvU0hHTY/cdH8vKLQ5sOlpOF3d2LzHHbsqbVGchWPj1symw
aMNRHXaTU/OclxAFrqWvL0tYJbL9aITdi+wG+5QLYz6FpoetsbVo11Hz7VMmVoqWVNrnqLfKfSpi
XKt5y+1pKZrgcDbSM3D/8nuEPgJDCzjzBvWoE10m1kFPJfl+eDjHgQiNtFWw+DLi5uum/OjGme0l
DnmaLzMiw8a2bf/MlG86SmPM3iaimx4Y/DfInbN2r4VlvDUrpzz6OL4bNCO8JP5+P/XfIVv+T2ym
6DL+aTPVtu/5n3RyP3/gtwZKLJwSWh3dspHQ+AtL9dcGyvN/cR0wRpgKQJKbP/+X/+yg3F98gX7b
p28HJegtwMz/nDHZv9A4EaQrDNdxLNcw/k4HxTDpT/MJz/5JeKWFg1TJWA1vxJ/nE2XkKj3C3b1n
VMSgUh+1yNhgubeSnV72UJm8cs5uWdyyvvEZchSrQWJ8J149odCNOncAnQ25pVnP+KbRnuszyxOE
UeV+1PqQzPHJ1vYep9jG5Kj7PhkdiFWqifjIgciYSvZoZ2x/iA8CF2viFO2tjYnuzm8NjGvmJFa5
qRXn0fTjQyvD8dKb9oNnV+2KK8j5T87HuizN7pK02J69ap3YKtkwmDq6aI3cqu/Xc6PmlZhY0ptd
Fa7mxiu3LtFYbMl6c4MUF9VP7V8gHBg3pLvInT1Hb4Aq4tPE+mmdaNTds06KTulYXxWvPPbj7ScZ
b94urQgJI6CE5dsYToekKru7mYQtXn169AX2e0B+bbTHwuje3VHz9rqrN9ukhxyisPhfvFh8B8Rn
3HQkXM1972z1ccKUm2g3ooZ1nMwfPsZuTVrwMsLnkcgDdlBn203W3dQfc7wvcJyKKHBr7RMtktrC
FfvKsmrXQlgIUjHx2p/KlamsR+lHGKfIjtngoST9QZYYzA2Ef5Ezbjp2t+xrzglrYJq/tWpVs4r7
kcA2TEtM8LXhZChWfWZtHPO8nHZTbO9GDelPn3W3aVMtgqaxJYtW5uZeVfbHpLSM14vQ72ZLmFcW
UeYqa+z+LW9N6s9SDPKTfVGIamLkNyCw2BWGQkXUgEPN+tq7chi6J2sU04/G73gf2wToBSW7r1Na
5ercROkVqwG68UYxXFwwUODCEW4uaCgnzjryPeFGoZC8N2r/mBIFAjoMfxXbGTQc5oKeYpZ4m5bA
qJSY7z3oVCmUKk0qlzYxVgeozPEprrtFDJ+G5i1sgXrNKuyTheS49bTsjQiB4YKs/qCZi/NroDm4
p1TGSUyPdEI8QDkgvK2VkCBcjBZAf0Tupy51r4ZmO/cdaFDj7LohTC+CpOF7FZMG6yu307zfdj9B
YBovOW3j/gSEJSjH1DqrYHwEiVgUbYLpBE3IT8AY4XOCP1hLTLT5EMWIcQOfgPPBKtI14ijsrz0b
JgxriCDlhr0OcDNQQPGCzS9Dd42pRaExTYwFiaahsAqKn6g0zcaZvO9JrGWKYRLEEySpHVfPGmFP
cczz7HUYL3LskNTrJVKXwSuGGwc9DOMGVPPTCa5mprbe6FA3yaJpvIfcrJ3ykDqZVv6o0ngmYxCy
GU9AG2U+RH+cl+yZwsJmsc1ydzP5ssypqnSn3EWWmJaUvVqJDatBeBBhrnntV0mqVL4qDfwmhNNP
zA9wFTooMViSM5Lsjz75LLcNxSgcMEwddSDI0CkJRFE0SeagYZYXyYiekkRKSchImnGx3BT6KJGI
UEIlekadJ4SM0QArA0UxrnKyl2X3XYV1aa9R2qt6lSaxkd6KMsmT7UzX4tFsADO8idKCb9+mQiNV
cTSZfoQp5gyEzNSKgGAqdvt95BoHUTdd9lk3mEW2PkvglCbVY5BkD8b8XvjYq9FeRfd+gU8SMQYf
2FfpGhUZNuaiilzKrxAfRVDTQcBAOwoET6yB4wg/kN29q6KE25lFY33pS1wdQcTm7pCPDGA8R1s5
Ed4vXbSPCfbJqBtfvAI0bFvUAPYdVW/nNMrurMTg2IulIGu56B7IJoTJO7TeqzRr+m2rs+c3SC5f
SvQhhWhffAu1Zl35xVprMeXkDUxFwe8lcrbTDYfad1RDfu4axsykL4Zc0WFq8pWQilCSDAD8dWoy
Y4MJOsSoo6rOBLJBWMwGZ2emTpza34bOHl084XX3kORuZt2HGUHp28xFT4vHUpxasyC0ZGo6ormd
LAYfQOwO2F49S6OHDH3MF9tl0AUqztto7TV2/NjQBgxvspzpaGZjdOdtNAAmCkgHD6BYEtKjxg9U
XqEXCO5lYhsWly/RXvPWCFk/NGM73HYdyhdbIzB8QNl58az+biIg+RACDrpDvt5vWxI5nrRZd88a
iZ6v7ehUd5Wm02CQieQ/tnM23U1hk2e3A3buj8JySNRmBHkIh9yl2+sZbAjige5Ic2kC1+z8K40C
nRfKae9Dml7/nMUp2eRNgT41aKye9hiRlPfDy+b6jFBA/QijgYU/kdpu9thqtYtfCBP2io42ijbE
3iTZj5jpoQQFFeloJgdxj9paPOcMIHcxccfu1idDIzsbBbwlrYD8oBV+81hKJvdoh1Xx3WS8+GNw
NfWiapNWFzCCvxZO3pSBgXkoDuJxrq+0NdZFZgTpXLK0sh+1xKpz4Jujl+7x49ti4dQMRAfokffi
lhLUUtL64y4hfchEKJ3aX6XWDHfwv7xHvSyyM+jS2Dg1AMCessZw3uaeNwhILg5JN5/kixg0/c4c
DVlQT2fjpZyA/HtYIPah8gEGSMc4RdLsDoNtMipA3VusnZ6WhzOiZPy5TGDolrXJxoLrzy0kbUO7
Qd2aL474tqaJkdncXHItZnI4y7xQnJJ1BotB94tVr7PWInmb0JGWjE1zO1tW69w1yZC9gAHlpiul
tAac0ENIeFrouzjilziBg4dmKTxosamxuWNKi2peeqK4Y1KgwXQQYWTeAX5AwjNiTxq2WmgBdWot
d0ITHfGnrxUSZZY3BICTluMZqdqhH3PkOS40xgp49Yc7A56jPNpsCEGnJsmcb4ghryC7tuW9X46V
G4CkmPr7EFNc9Y0E4tWYk6qQQOAKTN/SN0XKI+9Hkb9ShhguKSuFnepq/xF4jrhLqFwkAwzOfYEU
ZY+QwtqzQwC4a8bmnvdZfiWFId975FztBrRIWPiGEsBb0s5nvGNeFxSthcwCKy1uUibMZBW3A+w1
T9ToMDHDM1rRb9qJOGN8CPek5hDvDgZ30wnGkC1pxi/IWupTnsTEW7Q1AI4WYEagA9egd5eR3FDd
FHzD5XiYEZ9W56aEaID3GMH7XqCL42utOjgDCMLs7tYEL3plcGldMi2ynmxFhMouizUVrkqB/w+3
ohAgROG4kQIfWk/o9WO+5mly5caf+v5hJIK9OhiTlx7JT5ZfvOY4LMNGOWx9VWTJfRbr4cag/3iv
jBzyK6PIWxwHt7VrjLuWfDMGAljxmmJ2zpDVvXXRO6d6dixiTrpHKeLUIBolPCnNmd95YSQP0jWz
r6qvhl2d1kaNglZLD0bXhEVAK1N/SVlQgpVOeEBcpvbZkPOCqmCgwS2O8YFv9Nayt7Xl6n0QW7wI
dmqkbL84Uefv2lKZBLWN43xNbUI9kNWVn1U7fWIPRMvaGXHur1ATOfW2t4hdWBuY65PgD83Z/2sj
+i86nr8wGy0kLnqJWfFgl1ndIVZuybEE8/D49z/GI+xYsMJ3XdP5iwFpmPOiDENNHdyxUYTESJkg
eatRtf/zz/lzbMbSwC3fr4ELi/0yG7m/fI7ha2bHuq0/zH3RvyfLG150Mx2BxA2OF0BL4++gsiIG
Yl1uev/i083lav2+Xv71411SO4hVcOlu//pnAhLDLtBY3cFumBJHSyFgernY2ktxMKg2u/Nqq96m
pY2+fyrHNXKcl0GHc0l1Yf8sM4B+ZEvhgedb283jLfiR8iDQlkMUBgdZEVPYIQvVVJxd26bhqCrd
OSTMLWJP5fjnf349//EPohPWXVp23SB+yPlLGPhs2fD8yr5a8pMYB9Up8jqcjTGwQLLCfN7xEgXz
4e9+KKpAYgEMglzp/PW/3JNNGEqbhIWWD5Xz2XItaunuVW/kMQYl9f7PP2xp6f/8lfFhhu7zB/Kb
bHsZCfxBkiB9yywWs9dBzbG2wdj1NabaNtfH7l/8VX9OwVjuDYvb0iGAgGGtbTl/0T6YeWsQPgb/
MMYi111towp5cbI46f8Fut34xy/NcshpFNANLUCx7l++NJkS8gauJWMfZMDF7ykpwn6MFu+Gb/Xr
1ERovPPnmD5vGdNeU4XW89YzHChLlHz9z+qvMpCqdQ1CiP34sz5sftaK//zi/8M1MQyTW8tnsMNl
cay//kvJPuzwQMSHNIp091B5fXc7LsSom7/9OTh4HQdHJXMQaxEw/fFLFnXU1lL2kNtCmgGyKUwS
0GUI7+jn5yxjOPm9/O04/ZWK+0cp2B+VYf/nvzPv+9Mv+l+UZGP5Js/Nf62wCOLovfnjUPDXH/h1
KOh5v1g6DwbKBZ2j+6dF9reh4BJfw38tCKJxLGQ23Om/DwUdEyUPKQe+KUzh81z/PhTkJ4ibAYi8
zAT1v5Uo7QmswH84IVzb1FFmGIzjnOWFojt/OSFq4l/aws+tXQXT9hG47bzup6g4ji4+j4H2eDfU
+WsEfyAgjt17jRm1nU3b6Wk2+A97V/iGuESlnT4nURTfFDDGLoZfuOFhBP3qB8BuIuqDRohnc1bI
9BVOoXNI9iYzq64uDqk/CagRw/zsW6L8MZdu9xzNcPYDktu6KwyQ8Vb3JJzCFosDwanpVgFPPY7N
YN5jO6xPNkbQI6M33hx+0R0kdDFWS6ZmPQN/Me1T1bXJCfe/BSYKysAjI7EZ6n1sayc94YMAdiXs
myPB8A8aIMk4ZVLvckdzTsLH1YaxDn5Ionk4ZSDpxEuMHeElzqTI5bUkv9sCKrCyMnJcAyp/88tf
Hj9YFHl5bNqRGLBBpDeziastSNo+PgNndtmKAmAKcoxOPp9tNXdatYTbUmUBXuaU29LsFRe4KPQg
etpHzP0HJ++vknHgD4Py8h5aIgkTWRwqikIQHAFSYSAfrTbVNzjmnAmPr5dX29C1NfS90ZDetfM0
HYRyWJ+Qp7vMTOjDUoXzuerd8kyJ5BwSwjfmdc76ZZu7FLxm77AiGa0fEeYyxiiRswQxZHazB5ZE
t8N2pPdWY6fz7Ua9b7Iy9/L4rYVqcCBqFLJzp1dwKg33wSl1dztYVvM1dRnTpKSlv+9p+T4rNkev
BsS640IrPjGWKO+EN5lPCCObS+qkiQOaT3e1LWpcjEljPxSwRFhZAlJMhHPsifTbg6/1r01N7lzt
QEtdOSVpwIyDXfDHiTo6XceI0qkYNSaa2hiCfDl2nNljXjiMNXQ7UvvSTHSwe1pfIcCBIhokzujf
6MKPrpXQofrgCOwuTuOhnatd86Aby74wDMv+0LczMolCcUm9RqREl2p+chfLnm4r9QEAh6p9yPU5
fPMxOh211LbRcebiROud7aXZmFym0vBvmp4LFThuQUJgNTA7WxXMu1t+Cd042ng2VwwcFGNuj9zT
Q8u8CcSiIMg2nobmXitBQ3hk8uBoRS9e1W9VReh7KErIYN2gfavtZmRNXx71sde2bh8SXjLZ1448
wJFNxjb3SaEKG/s5jNhpY8zZliU4GdgVEfkVnvrK8vrTgDl7k4vmoW6qH37ckstqpRsgGx0kI2yR
s62uOQMX16nslZGIIbBMsS3RFeRX6Lrc9VTTiEKVaabFGm4msBd7RMRfks8GMtHtGI73zhGGz0rp
FpW1DagMh0iXkx7NXIDHcHhixlVcNADQaLqscpeRztLfdeRGy0CyDfOWUHVCbdFYeW/sfoEIdbBD
l6QLGX2mBWfimtME6Uapz5ALvXmMop3Vc3ECl3nlyJ5D8Y/khxzcQeyRQ54E1Wtn5XQYF5Xnpl/M
XHvWkYm29UTicFt0487IHXunD7bOlLwG1Uvcw2pQur7LSfYCsjKH4ZPLpV313eAFCtjh1pOwo5Ac
qIUPlyGbLZKuJ4chmS+IyPUHj6zvNw+xg8U8shlOuWmWpEyF6S1byHCLry7+USFk6QItdWBqzp0+
bReT2CYmaWckQ9LlgbeG/rVCdbOv8XdLLKFpvJ9wAWx7bOWQQ1sXMysi08BKicD0a9m8wGWHP9VM
zboOldzmrD42GRr/B7SlzYuW9SkbGDqetZm4xGT39Fpc//Y2SfQex09l9x9yLLINlfh+ls4Jit50
7rDovzSmbE9Sjvt+TrUHelEoLoWHzA4tx1VAGLuy8M13Hmmjt4iSq7g7MBaZbvEyxmvi54YnNlXD
tq1UQXIMoJ7DnFbajd6CKjhZ3E1XBRHnTJeeDIiFfONoq+w19P3u1dXS9Fsd9+WFy5ze5elsv3VO
QZ9e41WAjY9l+yqjfjpHA46RwJRzu076ztoor/NXrYO0LMrnAuxh2JMr5ffwZGYSgufBqYkvnk+N
xh458OncH2Z8l9tszueHcO7MZhWykH/2sPKywR+7K8nCLLFw3glWLKzgW5EkXzV5wgdj6PmSclbb
D0DmucuWz3YJy7jtsEFuZc5QEoeR+DRUNO1EKDn6vBwmuFVkgLUzY+xGXqSFdnZb1H2BLSEaKF73
VVMDszfEFvC7ugdR4SAQ0yQZJ+gG8EpOchfaUbXCpZQ9s9mfnzrbM8+zhQMIJnBtHis7rAFrRpZx
kLr1hXsZ8BxZSR+wvep0A0G0ehqNAYcHm2q9WPt1457HyksuptdiRm85W50of7faIuY2TqHWYJW/
WlVrwemdQzwtufLTN8V5Cgs+0i1tQwpneeeSOEdLU8fzY2lSvDHtWuJy2kZ8a+t0eBoT46vpy3Le
xWGrBa7MrCv0afnd7ZG+FwJBIsFO0GYmwGV2gHZk3AicRd+SBtChy1HzjlgM22lhDgnsolRnMeEm
TvXkTkn2PbOYJ7HcZ+MVxawM8s54RSgFya+BcIdfmPXPyCE6glHfeKWTHGeImS9+KD/AP+95tLxT
7fnJJjcBCKPA2Be18aDPfM+os9RxqsMb5vw1StI6QVap5kMBp9R8SBsekj1yQuc0Fol4GIqUnOy2
Xyj/PkETUULR4RD484E5hpAkFGzGZDYHs9KcXZ3wMg3YMiTrDA/fuiCJ+Q6Paku9p/NqxZS1rXin
PLFKybYGkV8rj0Cz2wwA2lNakZAtUh+6XlYIRoGZzYzY0R690d2MWJyZbJrenQLjetMoucyD4uTZ
mCbzMDR5v0GTW31hmU93Km0Llj8DhES38F+ElU/X0BDl19Ca41a1s0oCJcT0wDi+3vegI7aV2e7B
fEXnqOynLe7K+s0v0KyNRil+uLNmrKrQuUI8iE+5xuseLKvxMRUMDTEreqjdIL9ghZoGwuKynPab
SjIdf4Shrs7zlMh4PeI+uplEw0GixvIjHxpzo7TWO8lQ63YqV/GtmKijDBn6W7cz0i3U2+rCrmrJ
yUJZgnKVJUE7fuXQBm/jqr7pPavbG3rVridDoxzo4jRwJ5Gea8hSAQP4M0Un6QR+YV+zwcz2YcWx
XmIf2FZWutPd+Dx10Qcj9q/K8K+ulO0Wdzx7e1vG7n1ZVaTZ1JVukGWonTgT4bWbsFUfc5ycWQBd
uUBXqPqEMsKv55MrOrW1pk6795AX6a84Zj2X4I0WzIKofL77MrN/UGSV/c5BtfaNl1S9G1VnfHcd
JevjnKOeDUif8L8GjFLGdm54G7X2oB78zHHX9tzPF73VLqmROPcUk9MR6iK7IZIizji+fKq5hUUD
CjhmCS+NFqRs41iPWWrIfd52ML2WOaDqkpPlVOKGEwGAbo1TREhzaIJcWvFLxU+cYfVN7Yo6c75p
Om9KWXHW7mtGZf1QNmZz5nll7mCQ+r5t6mm4S7Ua/zCsCu8CL6AjlFAUs7lBuauz7U5RFYxGkT3M
hjDrTaUq+VqkUX622pT0JyM3nRurpEJJ0xrxJ8VqvkQEi/I2hbiMJy5vQ4EGWRHYl9bNQtQHea1B
Hq+iZz2N2ERUVYcDQre1o0Tb7dl9eygR6d6w3xTZumvzizkI986Tum1RgFmxuwLlnX95U2x8yKr3
LsJP3dc+MvoDu16NBQPz3EU2FZEKGhYMQKAaE4LD0Hdk51ZWRr0JZ+U9tshhuwA65bQZmeoFRKJ4
W7t2dn7qZ2sBagDSceQjI0zCZsep9T7EXRf4Zl+uI8+OdpmH9mOMCYgx5S1b3B+Y6+U+LErtMCZh
i88HP0gV7W0nvkFV4geDqPJ1xpL0QQeNt0FdFe9CJwvXqR5aq8xOd9rSYrguE35w8StVboG4DAH/
kqNwih86O6V1LLW9KUaU+CkFNy0yfJrM19Z+GT37jcpWBAc/dnDG4XTLJ42yI6AdVNsm6a505wVo
F+/CIKhe57q2t+Ju3NKMfLAPIYgyWSO5RK7mx7wbdPnWleZJoqUNGA+b6w771XpWIMsJLOwOLoqu
DQnNQ8B6ZcYbS8ypVQysDOyef+cAThP0HxiFrNnmmbnWs/GdTdy67aN9h55jjQbgOvdueqsI7dyI
SJ8vPHv2rrJCf82rh6x2BUEKNI5pHZMCY2hYsWrAL+qsZE1QGYr2HlhBLNCJVYW1nfM2pSjVpmE3
4vdnUegY4cqD92atNL/36sDNuuYsSLwjWjXj+noNMc7pqLG5sexhb2tu+K03zP6lTYoqWcFPpmFJ
OgHqGrYJ8XDmMNwh58yjjZCV/y2DHfLeWTI8QQ5RDkSRKqCgcV5YzPZy02mOT7DITINzJKQ3vheV
RFGLgnreo1MeA14c+rMkLOAB0nSFJAj6LsqLNGuPrusCgBw8gJ66O1TPkE8Am3Mr6p332HUpzPkB
D2weV95+zOr3uYotRBaLFGBMVj6MjE1l6MN3c+ojk+pU925kb6G9mcOi45GrsteJ2N7VaGLjD8om
HN54sohycSoEAXke7XIxit2IIX/jsK07mJEvjwlS7n3nMSUgFM7wN9Dh8cdJznxOIV19k06avZak
iO1i0fXFJndb98mjcLFB90CdXFIG0l8nrP9/+vY4Vd///d/ev/KYBMm2a+LP7o/DNPyQyybivx6/
Xd4Zv723UdcwHP/+E4l3+Pr3f/vt536bwum/+DqzWLp0UvDwWvxfb5Nr/iIcw9BRHXjM22AJ/D6F
M3/RTf4LBmSmhWRO8EO/TeEM5xdcn8vAFb+5QLb3t+yfxq9jtt8H9fzuZTLokoROlDQuC3eZev9h
UG8C5R47UxsZlVTmsBdk/EAFaAWGgMj+IRfiMm5o17fWoz8QhuLJgV2nIXXj5GuuFm88shEDyO1O
+ZJPWLluhl5f/h8FljurZkewjhkUkFSgE5LghiPrQheCbxBqSVbdOSh7ntEoxfJBn2xV3tXsDVr4
rXGHrt5mLcxiUYTm2s4Wqh0ADbYj3SzSNBADFnIExiYJmb6ZU6AAXUrdVekU8rbopPHDSEp7k4yE
ta1qWrAD20bt3kwjzbxB1DCQphPhtYcmCSPuCm1PnfG55By4md7yBzTqyNTG8daNUw7hTZgDvsWh
FevpvZeaL5BGJ2PH+hYnF+MYOgUVknowxgCIUKk1dnIG9QDymlkKeiEzBf69LofWZkcnqZdsD+31
tmk6GHYUy3TpMELi5NoygEV5MJpPom4JI9StCQBn6w3ZXvOkSo/NWCHIFbJFMLb4MXGVtChvgzHx
7DuTInFaVbpNcpXjROsu8cDuVtK8uqQZnkG/RHcIEKrX1tA+naYjbBK7Qcn+AivVhjdK28FAF16A
NSl+5rehvBlkcxsSdVIenKxStPcgc/Dr6tK+TycgxJclXCxciay3/WBE6EmKxjQzwVAl6qQFWAIt
2+5wolKG0DJSHs4INhtO7yXyUzGIqxafcNiMk79ycLKYa0+Zzm0xjoZaxWiSirOnE48QDH5GD1UO
lbF3Ot/OV+1EoN1BJxWtOqVjTrHLKLoHi1KoYm+OXtetmc4gVZczfL51N1hATajK43A7pemQHfSp
bBHv575pQPCvhEmdW42PbRRp2T4ZLfujEmH9lEeljkqoab7KNjTGI3cdrbmeh1MDAKiDS+sYpR9E
aJDYWi/BZrBt5mala96QA2gnkoWhhPVR+UY/7qmnvHwTodkY1jX15EQwiyyPFm4YYqOoSFAoxdFd
E7u3BA+Jp7alvMLyVWsH2RvR0VPKxYVl5BVI+8S41/qofZuZZ598J90PSFUJkeGjTbJxBwcUWwbc
4jFuJMQfQ0/hofZ6NT3EhTV/5cwSLoOjN2qV9WVkXJteUnCPRFgvqqe5GvazLvOLD52624/kJNRr
PRnyV1D+9dVPXB25j1+h9AiBvJUrzbHsx3qKsMDoZk436Wm0JJs0LRwYT0XkrCs5QeZNJk0ap54x
EggVmduXpiL0ZE3yBOJUK2GOC+CI8Zg7EQskEF0SgkAz6q1LwgNhKOnhN23Owt3sDukqH8viK8MQ
FWRNFG9laI/PRKHlqxrkK9HOdZO/Es22YLj8trvK0gHdaOflqYC98tgCcFkk7jC/qPbGI34X6xZ5
CkoIkDbJvh9KUHBE1CNJ1Acz34MTt5+MPG1PiD3km5Py9t7MXZcBcBljVwXE9A7hzp/A8pJSEX2M
lUZhRwKFOTAXNBbsZFY/gvDDaDBjiQzsjMo2iAQDWxuvJvoIJ2qOVjMDiWLcOFM3yeKzHsrB3w6Z
NcpdxBunWuepSy5dpqB9D1LdRDX1cWibFgZJWWbqoVJxCI7cmUZ7HWUFrM/Gz5HXCjOsjpTMWU8N
YhmgyWe9StYpCvMUGxH36srR6/Z5SCb3WgzEGKEH1N5oRN3iyYOErq/VyIMCddHHXaqVDkJGXoPe
Jz2SxWpgtnZOo7g9o2dWwPpH1yOr88wy2dhx2mz9PgK43HqCWJ6c0hYnIh9Ji1nvhd2yQICO5XPs
p7I71tPkE9czsk9dGeiDNoNdh/f5pOmPckq5osJULnEQjhErxoNJcqf3bB5AsKDURGjssG+Btpi8
iyEshz1h2X16sa1wXnmSI2eVGFa+QQTE6HEmsuU2jFP5aHgcc+tB4jHjvECutjYcdGSB7xQYYZX0
1ZM/zbhWndiIsYJy5ePNXNniLhtrjJLZVKASivuiwjs7DfxDTCeq7uMazemKs6GEVEdY8ZLBRwVx
iD3TZtOUx4LOxU79leHG4yntYn3PzTxrkEJIXh/HsiK0l/qg3ZvE1IbbriaIuMgS4HcjJpIClvmd
NnQxpknGVJ+prWUYdl3HhCNO1gD2LmK6iPjukxl2n52m+9Zhcg6iZqqxdy1rq8DzlosAEjPQVZon
t7SjEwVCY1nv8Jl50TEVBRVUeu0FBq4ioDIdU2SjKUcrfYBFL+aSiT2KMr63ANF/U0RUH9MJVcBW
17T5PgEqxWTc61tUWkz8HocZ0+JaJWBQA5k2dbUfRe99dxWmI6JEjJtQRcDNS01BQS2ZG9YsO+QM
+WsAoWSQjxhebax8097uk8q/nTwxDKg53OiiWY3/KpbQx8TUTvXPHEiXRMge19x/sHcmy5ErZ5Z+
lbLeQ4bJMZh19yIQMxkkkzNzA2MmScyDu2N++v5Aqa2kLJXUD9CLu7h2TWIEAnD8wznfubKQfaTb
eA2MdDjktvD9CJHEUbbBIvUrXwMms3alpDFLcH4KtSZQJvYSvHRrLKVuB4Tla1Rl8Z1a2UimyOZE
28AZk2zMNeOSAW6/QqryZIvONI+GCSaYIWv/bElMlYdhTcys1uzMEvDFprUSAjXlmq3Zf8dsErhl
Rz47JdrzeDkbcokVkcRkc7rfMZ2pRWKnt2Z3ek2KqKAy+zVZmQVb2o6OFZV86EOe0JZucMt3hy5N
xiv2Egk0UzBGO0wSRIZC//BvBkmO6LAmirqjl76len4knZq4Ufs7ehRrVLPP1jzSKl2jSdmhQF1X
nEWKyovW7eTWnfcL3lJrHhhr2MZ5yPOTtWae2mv6qWvjkscWYD2WHhEqwmLTduPkcvgCsUx4auIX
SPC8LgW6k+YjAavChjlMDlSLFPA7gpVt74TMlFxWlnPZ8NzEJLcfvMZqPqTA5vsDMy2BrnZOZO/Z
/Q56zUIL+WWShD18sTUL1kmgbVHerBGx8XdcLPtVFmmltcbIMu8fHlheEi4L+ah6GL8jZ5tpjZ91
lLwfdFs0Z0GeCnuvcEQu6zs1K9glvVjdlB3R7cOnQEPXHYipIOP2O+7Wd1Oib1fyPlFMgdfdZYvC
5hgkwbnOjQxaxejcwq5mX1R1Y0OPOWGEbTC2Emib8C6nBvlQLim8ovbTHS5efODE91JFk9hrYPMF
bTGTeHMKWHLXMJnXgF8O2vBxznL3A0E+oLvEVfUtJFz53MPJABA/ExXsFHN5rW3UuFEpE+vFRkL0
7FGr3ehOJIewHDC/NVgsqoP4ZqSb6wB7mttWRg6y2d+8IOEvMuP6dkE4L12s323yEtCFDSXEuMQu
WrT3Ur5YNL/GhhATWO0i7ik4jGyuIRn1yeP4zXUPPOypqJjEw/hX8HsbAoFfRnDwzBIhw3duxTZu
xcVbcOMnavJ3CwxshHTgIV/h8oaNjmwDJgzmvPzmz5vfLPrim0tfsZrIb7JvXn34za43vjn2dsuA
gZV6VsFr5V2SRqa1cu+zFYGvfelMV/0KxtffjPzMBpcP+Qxyvg10jNSZor1XMxMU7v3luAyLTVYN
rJZ+C6qgv8uCzI0AELdXZqmdvW1QFWRQ+zFzgRMEpkxEjApycdK5ntOXSra4X0O7haFbtYqKkN2H
dWkd2d+54wTNH8Er0bTZjqx3Jh9ViBETIX2Eef9n0cMS3rMPLmKSAXyF/S8V4kZOYXc/GvFySAiB
em2B6p/IUlGkxnt10RwzIzQ8BGFuRvK5lxJx7A6G8ZZ26OXO4B/qcHUN+0+jM3ggqQidxz6ihuY3
0GJgNzEv2pvEXZuzxtcYJXUYTg/ZPMUle9cw5ycUyxtr//GnzafwtjkZrwBYuN7t1mV+cXAdNf1k
zMmQFFeDe5uljvlIgcsJmy+o68lSS88xcofPKpbz3pv98gTkccmOKNXdC01DEJ/BlNq/cuLWt6VF
O7OlyCCfI13C1RpdkCTKNIYREpIr144yO4acjMQiCvnFOrbrTpHveJjhEyIXGX7x+HrXuihRB6ZQ
hTPKjpoJJFOrdjuk5R4qgs8qh43yLc5UiOqxNDPrrENwBHs6YtPZJpmR01XR3ngRTS5kPbewf4qO
F1i0dFjXaDZMl/VLXxKQF3uhNz+pGDrZEVwQkTqZrtOPQSpxGtLeequmOtjqFABR0XLML7YDXU/M
HmdN0REwWneEy4iAZSq0AVlHRNeCUCDRWP90DclS0Sfm1LNUSkAuNEYwfG1a7OMc0Oai2H6fJR59
c6vD1THFRs9jozcR7MImMKegtJMVAJHW023QQr2Lki4LPzIMew/Elzylaxr2hqCOcNPUoD8gKEI2
9TOTrBEzOM8af2rgoruBK9De+QNpKS3iHEVWnSjL3Zz1+l7Fo7VxFDN8yOSZ/p13qdft8RV26uh3
ON1p2XFcdctwC9sHG0SFmokwEHTrK8oUIqHbjSDh+R2+wFOSGJ7ygqca9a7dPkUD3rKEqdJ4vDSs
SZmJi25TCvBkpFcOx8L1fuueggeUob/J7Hq8Yrf5kAHSPOBepuIdPOcFK9MHt9vENSacBS71RznA
NtWxw/g5w8tf5VTIE85CtzLacyWgr5RD094FvIb3WaeSn9QUFaFB2ew9uMU7WmSBfCJeA5NqZwsH
v95ZbiNOBbvkhxgU+UEFg4o4OHEhageGLzS7vjSsY8z0+OS0xXGpA1YEXl/k23Zq631eKedBWdZM
RGdg/gqVW195gz2+9wq0PjCmqtqH3WxOCFcaL9lxSI6/l96D8l0X4Mx1LIJzVyAA2cDLy0sUBIZ8
FwXCmN3iSXE99446NhM1fQGd9ZBjPTsSCU67P7SMnANnvvEEqcgbMZbz9TgNVIXB2C2fc66J88Oi
1KJ+qoJHAIDe9WwzDgZO4NITl0E0toW5tankP9FBqIPqCF/jZfIqQ91D7mhEf9Eeh2jn5U0etajg
4kPVhMmxs+aDLJli1x22MstpGX7Ak+meKHclA4pZtxFqfXqOqQWfr0XxFThpCJiWeNtxzpc3xvre
fd3M/bQhaEZH0l7jEyHCWIxuOS6Z3BywbZ1GvDcHOD/ebV8APNkUU2Bg429qih2jIm6ub2LQyJ0g
nJr+tPdd+Toq88q3ZtZwyEvFfYlJ6igrNTHydhkcmWkVkLNXvMrSMV9J3Wq3pFmpm9EZrR2GPnvf
inV8psdtW5PgTkUj7lK5Jmeylz+3bLWlM/dHZ/JvAso8JGu+ezUL26KQCpetLRyUHayO6JGHjAxU
DH8DL+O9F5pZBAqhuuagync8MgEoHdkiFlFSRrWDLITYROCgZCDAuR2mR8z3mqUpe8GNDHtxS2J4
4BEk6s2XsUTgxImL+xIpwH7u1h3ekrQ2e9O87XZM0/CNpfrNyAPzUXiyIxleYmZZYDhjaSqcFznl
5oEMRzQrzWIeW5SmkaqTbueTMZicIbKWKIzScTsgTqXOWQr/FzKPd8/gi0yNxbygW6pP5Hgx0/2i
uZfLOFIOxcZN6QC6duPxBW8xdg2rqiHYpm1zgH8+RGS6ExBb+jetiFG1dbQD7KTIAeJwHkV2ZRaq
PvmmCj7NzrkzYspuPRkLBVk833m4koi67mALwMfBpzEwPzLwEU55d/IgnLB+bRbv2bMr8SYK8mp0
ypsk6bMrX3btYabf2OHtqbObeBLzryUrnaeimMyvEbcq/UAo7og5PqA5W7qb1piL8ZIObUpNbaRH
COK/pbBsvSNMajpSes9faZBXd4UW9lEOg9wpgtzmH3hMN24/1/sh6Kx4M88aqdVEDqVNOezDBMZX
CJwkoGn5YToVTGoBahmZ0/8X9f6/xOI4nrUa4P/7tcLLp+7+Y/NZJ+/l368V/va/+5vj3/yLyeQe
q5Xvr9reVeL9N3Gv+EuA2ckLsP0TcoNi/T/XCv5fbHS/JsgIEdIGgY78v2sFewWtmZAmfVYUaMbR
6//v//lP5Nn/Kdf+j7onjTKrO/2//se6M/iHnUJIj4942OFoQZXv/aE/R/OZcAh7AR1QX+yxAjMQ
wAe0FRlppl09/xsLgPWnlNgLA2wNcFt8rkjIF/nHHUZuT7GDHJ4xH0hbCtwi/3QdV/4YLDRJE0Cz
bYXcRFLBhgz2SS0IQkZxon9eVMxGd7B5zAbCKrZ/97P9TbX+95cBTMJ/uQ6uHZiBy9oFnoL/h8Q5
1Box7VxhQrPLn13N57BGIyC4Uxztzj2HsM0PTemQ0JKV0zad0Xb25l+18//w2/z9h+A3/fO3cCEu
2DDVPTw84o/PUAQQitbBz6HNsIbRf8bnwMqax3/9Vf/JL07JHAiApiG7oPCPLZLPRc7TJQ8OTiOO
wFteAtfPjphp2o3E5f9vLuw/+U4083wbl7mVy430j783SgtAPnkQHlB7e3tyV9FI9/Cj//V3+kcL
C5sxwFU8ESG7NpN72P7jrsI0bclRxP4BqRhfo5gpjcr+fqiy3//6D/2Ti8f+D9YGHEN2gd4ffwgO
HVd0vX3jjPzvysi/UHRwDDv1HVymf+PZ+Kd/jA04+RouCFnzjz829S6CWu36h4Y806gMLEBVg03b
sHhlNOXe8V9/N3v9Lf44C9icBI7jciJwTv3xW2VsMBflJ/4BEnSxoWMMr0eInPellXonCM2YE0lj
3qfdaB8R7jV7i53KL0RxNXr9Sd7nRaAOTl0NW6fwwLaZQoIYdIJyK8Sy3JFkQpkUpAB0Tn3Oft2p
IGFtSM5aORSjHCOaBWvb05agZc+9H6qq1I9//R3/2XMOLYU1IrOR4L/ej4yg7FGw0jgkdWqfcjZl
p5mFSkS39WTwom3Rq5xqlXyxFWgB4xX2I/O34N9c6n92v7Istt3Q8nFouH9caZVTOQjcrYeSPdxp
crFEsJVm3ZN6f+Xv/Ldnyn/9Syy0eX/YgRMAOfnzN03bVI9sgwjvQpUSTX0QbFRTIbs37d2/ubTe
iqH54wZi/G1aJqRj1/H/+t//bkEtK8sxfFv7B/gt9q5AS4fa0Z7ubNOb7j2DG8GW2EzZ/e3QyM7w
CQKTXAOvRu9RNNN4JAOtPMwYC/uN7oX30GeDeBeDDI6jl3dlxFhlfmBg61533dBcIcDKDrUi/Idh
bA+Ao8QCFZFRJCOzAnlgEmUFks719kjp54Mh0fooJVfGi0LOJPF5WYSq4F7Fe2wTj1JZZLKlubhl
P4F0BA46xnLGwFtG19ktZX7+jkSkOrlDOO5WlNZxDgUxhoP0T4Xs/FeAf+7tyLj/uGgCjgyGlkjr
lHcOTDu+WPm8DQnH3pVxW51SkSmEYRaz8qlvH130I682O4h3JF7BJkkl6PUUnWdUNzAa/XqY93VY
Q1k3u/zBMFt5G5gVSp7JB+xVqImN/wTelIHREF/UkMZEMVGCDpUMfnujnhrCopy3wshfGPiGNFs4
AK7yTiGGUs6NX6VbZiJHh4CdYz3Qj3ECJPa9ZQUAypwUPSrCM327DAQQJeTdHLQE+8fXaaNgYPAA
WSHb6oVIoDP2SGRZnFLzddiH68ai6Kt+29tx70c9QjvYZuPwScnENRmd+jpNa+K8SVK4kR1S4g2u
vv4EPUO/WLoenoUbwCmoBJM/FOYkZVC2zR21btg9kcvpnvreJARJSiNSdLLXcvCqXSNN+BhZEoD4
kTTWKB8Si0yivHTXFTqqa0K1Q4VKit8bbCyXD9iPeCdLa6TPYNC0MQcLzXYrxFva2rTnoe2+Oak0
SVZFs3dLfKcpNgFRvlCNe1PDHEAqycnpzsrbFOiSnxG7duWz45SAxkwzp+rP+Q5+LLjjwyHX6LUp
hJjSjy29nIrPFTboEu3H15I4M0vrlcm5pYGJ80NA473AWUFsbhcVjZoHhmablePMI5SYm5QQ+4O9
UOCw0rSrX54jhpDAE9IAQlfJE8tEf+MkRX8cYnO6AKtLUHS5SXhoGviqkcmgYRvU8U3RT8lROAR/
ALe0+LzpqGALpgHqr4gJFYYtw8iWa3tU+36w5Jn15srVr6sHpx5RvWXzHgRA+ggOGFsBxqi95rMd
wXYk+1CScBcIs+L3nYgkYRXGIpgZHgv5sof+jerzeXAC3Dez/GxY5O2yHnmgIjPjZxjDGaZAdeTJ
sBSgEEgAEVtFUhytRYwHI/DcrSzJuWCMVVxAkeKamuaUrBBMHjm2/Y2js+odJy1CcuhCx8BR8Ufh
LCKG3DKOhNSYtPL8xA+x75jslwxo1fOQAmHlLUwpytpFVN0PO9TzkbF0dVC6D3ZMQ609zC8C9mxE
3QMF4rRYLuQ34FOTz6hG9bnLvOWcEFp9pZsAoEBFp/updRJACIifkhlcnFRWcmsQ8HaF2CR8B67h
PNmLwEmRJI7YqFj1VOUqPuJ6bY4pxEpU5BmPQmDgDS6sYeu1FMfIUdOrpAVhECh9DhqziHjrsXfo
+x5l3lJfulIEfdS647Jt6myVpCliEX2jBEHJIBK1M4W3I5Yb7ch0h8J9ebClry9k6GS/powT10RR
GfGazw5SFtOdHpqRrAUjfm0TEwUseSiIYtxlN6nZAGLkL5eE4XLP3PTQ6Gpa8zzIn/Hu4rKCvlCQ
spRW3gkjLv07o7FkGQaoT0R9N443fiIRATZbtCgtedYM65UNqnNxS30ZmU9sCfpNomk054gZkHVN
pAmTWhYU5R5ZY7EVZTPuGzds0WF0NBSWhzhRqYGEobbO9sr1NSD6BRtXbXxNHoa70RePFEnLAUis
ZGjJo+xZ7MosT+zGsbEuLNB+tJm6dvJ63viW0UYLJ/gBPhHI4oY1Pt8cDDIHUMLcxcVgoTFLEurs
7iYb4qGD3+tGjn18X5sA1P04ma/ywL24zYALIiCLa3I8ZDljL3/GYRxEPglrkTcvd56QwT4fa2/c
eNPovbJlmnbMwua9z9LKiQIziUnrqkkAQeJdt0/UZdMP/L4EoHtOfFAZ2li0+/ENGGsCIKURPqR8
3zcVjgPWIkDKXA0PzSPHucyZzaE18be+bKCzi1kVw85ruCIsDhb/rsQNw86Ow+tlSJX+RZJabOKA
DBXimnyeEB/VYDI6vXzNdlZvkozp+ej37wxBECnNpAh2AQOqHD5nZCFD3+q5vF/JSSaHzw0PoTws
OACBzoTFG6xyebYTfFtWvyw4F4jRKEoiBjLAOxvLC3iMR3WllnhCROU+DygFtkloPDlEdUYOL/k7
jzXcXiObALOfWjXoOm/kzi10GaHukA+2Zz74mZbHpsXBGHYMtWAi5+cJI8ixkj0OPoAenPJ9LQ/I
Bs3DIG0bbnbpYbGwjF2siIgayZVEnA9eum/LbFvD8nprAlfvpCugy875FaskhmmEz37xQsp2eT2W
x8Uzh6eEhIqahDsxfqpyIV+mgUu5zZVeNguZa9SMYt4bSLxIaWqq05jprwaT13kC8PrgWKHcK3O+
w/tVnOdFCMKZYVxsLMsYnoeiSL4wf6gdfNb5VgazefKFjMH5huoew3yy1xXby1D2N1ZtJHuISDXk
5Zx5GESp4jgNJLQQRjtHPXFUu64yfxBpGkSotEDUBMO0X2KBRGbF4ZxzwZ0QTLa5t5y+wxqcgzOZ
sgLeVcaet8PEOkZT0RGGK+Lmtz3Z5RVShqLb1x1XJPTy8hBjHT6RFRFs2tS7Qk/9OqupuUzNdDOV
jf4QVdtfy9Zpt4lVThG94Q2uG70LYyiNjvbEoTLlcKpAAxaN8czyFTliT6bTTtZxfW7Indyl7ZRs
k94DaKqn7ib0x+aAl3Y6Mng+13OlnlyAy2TsBKiHw0F9yHpceHNTFOCxa7Ko6RPmvDZn8zqgvyFz
NflhDXUdabP1MDNgT8PiQJgfg4zhbkrVS8vWF4lEf53aQ0mI8LhrUs7tpSMcvuynrWqAZ4OZWA4D
pLuoRDijl9a/2ItV8Tez7AeFPRP7hMj6eYlZ7tdOQGbdVD9rltT71q93Q2H+rr3s2I8Yocp+BgKV
avtIkhWBwtbAW9iZ3CN5f8uhJAyiD+ElNnBQYQfj1WlbIziD8sm3NlYDsigfiajHGYoVYksLRdQN
Q3VKeRIzkjBBs56TezWgdsY0i9OnEkBcRPzqV8hTkThuzZGJ65Ivx66VT3OHj5OcoHNn9M9Bbg93
6bBsubRvIfYyqk3jNwlyz7ZTXOrMe0gIvN9klXVbTv5nUnyqMYBHk2WIXjIk/h5SMRax51b415mw
Loa9oOPwe31dKuNacQfhRw2LQzw6we9m8vN9YgOOMxPknoBtHE9WL4vzwSiu3Af4giJrzAHBSkg5
vZiJeax09tg3GXZVXT+pJXj2ZM4/8r1o459TI65Tq3xzbQEFunIVenqV7+sqfUqxMuJhfRyDHAy0
PLWdW0ZC1zeOV/DZbcxHXjuMu57EpE2HrWtjG32+dTGNb1Jps/WFrQZP9j7nqTph3PnF2AFj9rw1
Aik25CFsOqbFZCil8RHW53Bbh4m4nVtff3ZlGTI0YzMVG9UZO5i3H+KRbMEx/lU4ZBl4tPuP3SqT
Wpt8HllDeL/TxWr3lXajBGbTXqFoOM/gwiPYiKCa0smTO9eZ2dOWQb/VGMy2gQVdLKzri73ahXU9
Uau0cUhzP7qAE2kR9EjuQi8Mahi+cG7D453sPmbB6NZQQvm96VubDSv+h8BLbl1nzCLPVj+JBd7r
jjq/BgS8qQo0TiLmzEd/GkknvE8X5+Lk8Us31ziMY3dTQ78loKo1N7lfqlOaLi0v/frJBAIXqQFD
7JS3r7k1oEjw2ctnzS/fcF+80uyAgPLOnlvNj6aK59Z2+rsZmNHzxDB0QzBKecSyZh2RphGqHZMi
1qJWfM+GHtOLC0ynZyBy9jGyYCEi+k5WI7Wtr37WVj8cEA/wTc0cxUg+3AoLeSFWuma3EGH45c+p
c5s1hKUpIrL2M1DuvRFOZNsU5qWmZ9nn9D/nsY4pjjzg97a6U8Q0bgR89td0te3VKQZ5RiwPZGQ3
+xi1hxgS9kpVd6ul0QOqWphlsCm+AOhebRwTfXNm4cxebLPeqGwq9ogSJNW/emGzzpIkcMhIzRTq
5nj1ko7e9Ah2ldalbqkl1Wjuk8Zvfk98qbOvfGxCEz+pbfXt0U6N/sD71rwh15qoU2xR50oekRnn
O69u7Is5S8KGdJ9fCjLDnzUWvWdAkJ8Izu2tbdcDyzrHfCmHsjsSIW48tKRd/xq5t+86FXiXOXNa
FDHwQdsuxeBSTVisy1DfiH7ljTLG2fppijoEzDOCaqr5mroP94XZoHshkhtpGxJGGAjM+KLS0dWa
dNv2J12hJiML522WlIoJE6/fcZLWu0xac5QqSqGOFvkQ5gCzJsIBtrAf+yNAMbHNa887t6qb3/pl
3tIwebuSx3dvauxYsZtjCM4F/O0qme4yU+RUi0V79v102Nba+5EyiIoGtmiXBbjf0R6EtceLg6Up
R3Ld2Dq7uJNSJ4Knd2ShTvuQB51eqlJXEPSHXZ4p6ko8eZdwRG2Q16CeBLCELWG+6aldBnXoJ9s7
VGUnrvg7awJnkR4WgY+AzVhwJhoPYWQPzdTJqOZpwB5GbTuk0uYWDLbuYwqd8dUqkp+1v5QXiYoP
fODyQTuu7kMUQACmgFNGmdHrvVVgPDdM/WTb4oU/C+9WhafU692dTimHNWmVETYb8WRPOgN/Dh/y
xjYNZkO10g4wAZNZULXSwxFZRklQc/s0TbsXaRMne5o+96VPlAXusWmRvfKajoum2wSkbJLS3dBb
zTnIO2YV9VNrjCFC2rR9z4vUuYdKaN7ZUjq7dKY1hNmeKUx64S/sBOE98zicq4bTbSq3xbAVL3nU
hb7DgKn3r7Glquu6wbfshVNxGiYoqq2MvZ0kTuFgGGmN6zWoNyBZSApJwXBv2FZjDiZpOcrr5eeo
XTSiSzK/wqoCypHnigmH98sHJkJxEM4RCwI4rJXT3pZODMR2mDMkg3RawF7yE7ffj9D1yGBmxSqP
U+Kk14QN5/iom+wKR1ZWYutnonpFYjRx1Qimhh9zbrofA0Gs9tlYihlntw8e0fEW/9WqJ7PYuaM/
iZ3q0+yr4SbzMeOz37xOk25+XCrI+1FpGireBcbUuch8Vfk6eqJn/znS6S3d8ghPFbPaUPJ2nAt3
y9bkARgtZ2aoiDUE9brPA2vaBhPKG7NG/lToVjzFRY1qdrgJSI48YyEWROjw7uBZLZdLrapwl/uB
w7fwF5jvKZFPGyIImmf+kHpCHta8FuvZiRbwBiRnsceo5l8LjIr7EqM7x1zQ1W8tEqNzJyp7t5CY
QNRyI+MjlrjhaZTz8lDEA9pupNQXtFkmhl4XxF9NBMAMbraM4ACWR2Ja0U12ftYTLRFjv+9mizOx
Mnn/Gg3orM0SVgMKAlLRMr+RuMVThMMloqG99BNm6bMs8DYWvAw2ft8TPopdpIS8OLbv+N5ssf4m
xaPP+XPTV0H/CZLTqMAjxPWh51IH17y/Uf9ktrqPheb0Ku6h/1QHZPMT+BKGF21oJpdRoDpLLIE4
jM+j4wGR9GCQsgA6Gv4LyYwxBy97hL0hRoXjs5UHH8hVm+VtRExJFBqG3hpAYUCchbK4iASufiH1
sy+zPN2mhWPQILTeu0crdQyHwI4U0eG7MUR45aOSuqeljHn+K7i1qcGKXbZ8qi59RbBBdSP6aWdY
q1ZgGT8WbbunesLe3izjM6rAoxy78cCk1tqQ1m7ewWbVOweU+qbuyQApM9891iiLojkt5NkJMBF2
db9rhuEcu5DKI+4WC4FzWu2Y6vQXX+f2r6khCnxb5RUaAQdeyIGQSaLuY7Ptrlxf9QffF+BkE2UG
H14+hId+ttsXxh/tD8xA3X0CyOE1CIMcHImmL2Z0t7cG5d9SyyHkha25r3j6tngNPhHsqmMIE/ZW
LLA7NmZYxr+YwVLhMy9vr+pvMojLmQcYWmNr3PdFTeYc1mk0NUUTdt1X4ZrWhIQWXyE5ThNrR8CZ
KWem04ZPvEt7sUm/kSVi7mmDiyZWy6kL57ah6DZZqQZgiOAjVeBAivypQEe/s2AtXGOcGLF9rBuX
GHcAotBoKrN0V6Zwv3U/6nsBpftQtZZ5y1jE5/9ah4wvNBM94fvgTcJvHoucpF3etgXHdGqbSHbi
KaoV8FMY1LcQjbaAlPRmdPIdHRBZ1XBf+kU91d0UPtXTiKIGDg1eXLye1da3lteqnl7IeCNavSvs
laULDxglc9B2SdTMqGWShpkQCx3MOpnxDIUz24YZs0vG7kWUpQt6GuKy8Wm6+66h65JEOh8DM6SZ
HVyDwUuqnBMVLCScTCGb35sdb0XA4UGrGe2M4FZVgPna1SMK0cBISdRiq2LcIOCaG2TwFXMcJhrp
A/w8cUXR15zs3EP6m6XtgzfMCMT8ziPbrsXmXUYMPNDkLb3d3WkH9Q8HmOM94mqVR1UkNJGQYdtm
68SuOhvw67rNbM7TvsDgCquVsaY5+t4r32vZdzPQPBYVgmTtZeictWMp72IzaRjcLNL5mEmV6iOj
JY8CkrJlR0wW26dgXg/LAgMVaicndr5cwLeUQkFgHKAJlLzemJe8iKnwX7s59a/ZSDWXEonAPYtP
/+TZjvNkiiTBDyGMNKeqdkdNnKwO34Y5aChkIGPjx4Iew71tEmaFzy+nyq94tvKhqeUWPbr16dau
8wQm23yOzbz9KnyiqzZdqKvbWpo2KwZyJxZkSW7xIQ1hnuJpno4mm5GHrBJxAufG0Lx3Gu/n7Lv+
rWjz8lcJ7ZGJaZLc9lPjvvaGg39AE1P1notwObeVy7/XY8gYojRomEDPEikdto14CBt8OFFTuda7
xmd3HFWH40sHqXeH85xpRCB1cmcsWBnC1NivERrPpg67r6a2m2eWSPFLlVTNm8GzvzM0Vx5CeV2c
PCrJ41xnywuyuvS1TmweTdKTuzdbGd47U2D3Z0kUUTS0CxICJwN3oinhF2fwdzW3yLk1XJdXCpab
yp+nL3wLKK6Z20Q4TNyN1gH+uVnWzrMhqvRECP18UeMYvuWWXUSmr+HRz0F29hgze+wxuhZWg4rf
F4YsPACQTd+CuovhVTceRfVSqkNBAUhUAVhrXIOkqYxG/TnUfXPn1QodqE0VtBECKjxlHs7twviJ
GcWEyoyMgtmNSeS6tXJiEpgs6Diw+nHsE3HVtNUd6zISSCZSxTBMlxQltV21DzMZAoRAgtjn4qA1
jFzkihe7G8uTO87BaYrTDj9X037kFGkSbHtH7jP+AJTpdpCBoA5hI227omouHBg4qtyMX85uZ9Uc
aJMnOxpsSRfdVCJfTWBlQZ1NdutvK1fjDwbW451pxvJBDH7zKWRfXsiFLs4LWfFfoSuCS9y17XXi
+gb6QGtwvkTfNZ+FXYwurJ6mf6uRnrzmSml/Uzq+8rYBqnO0u6Pros6qHe/IrRpuUxakj1oQprAB
7bKgHI61eW+ozn1OQON9wNB/RvRcA+yiIhnmFiuNXyYW4U5CFndLP87vFdpkHyVdVffUU9hHfUbv
y1F3jPVEOGg0oePERQaHRIFhENhknvNUutU27SyTfcMUZzfz1AmoXWxdOSOSmtiBJO2u0pz3FxBM
0e3HRXLrVGS0l5Ed8LIhroBFdBsY5mWQhJxtuCXsG7P/5mIDLY+IFU2+lanFNlH61bVmrGiVTyjF
ALP7PuWHAh4RaBcjpIQoYYIE+aA0csE9Z9X8O0/qkeFK2fr5EWmtQyFla5LKuZtzfYhhGXJAwMMj
gSCsvZ99E3oYASn54aw445PXrW+20INJTVyVhiluhbhR5l9KFcuGzTEIK1prnhNqJL4BywTL9sjz
4JXLHHtij+O/gd8rP1QyxowsO7A23oxUxLKuRccIk3eBq7wD5jo33fpMsEkbF4qFh8N/eLS6YehJ
UXetetcmTsWmw/IhXblpxuhMW/nvWLvlyXezNd0Ciby1xWoHH62M5W81A9mOJtfi9c/qZr4qCgPY
/9h5r4tk68ASg+atUnFVHFVZOB952ZlXM4JgGtzVwTwPVX1wChCEZQ64xEMPzTIvqE/gdFiU+SzT
7shGmvD6wA9RGx3r30uOUYnppKFecj9dk6qpJpq0/XIGK7wiaCk856it7sbFMTBzunRrs9LqMs+9
sWVXS48/F3tgDMbGYNt3oLdpcEA5+v+wdybLkSNpkn6Vlj43QgyLAQaR6Tm4w3c69/0CIRkk9n3H
08+HyKyeyMiqzq5D3+qSIiGRDNKdDlt+Vf20/KpUDzPHJdF2HSoJoobyKSOogvuQmGC0Nhpt3MeZ
HvZbdHtqCxvrDWTddKvZsfUBS7wluS0wFBMJ6qQZP5hOCHJsHgqX4S8mXPqI8gtwU/plWhbaLZb2
vzJi/Nny4goLFxQbNzxKy1rsEz85FsJEOGUZVmq50yOecmO+dghnXREkiNi3Oape9boWPwh4Yn8J
nv57dgksKKighmNgvPnF3zMbmq0id1S7yQ7aK5q66n1fN6gIAtneHKBF+tzJEMaJ8H4fYF2hOXTZ
Fv6ZTgVG85GUDY2aKmPYWWKmTXMEpny0ze3AMR692dCv82AwGctkNukHdtR5X9tWcSQODS2uiS4b
o0eqkMwGTZxa6bobkpl1hRMwez0160WXGLsMHDCZQ115wE2od6lpihCDvCewgDI2TPp1FdkfcU4P
pOb02KQ1Fvy4yJ0CctdilRqV+Zsh9R+6Wow/2whdl5ktOGFwgIjBy1v70+8t46PE22dxWsdDyb1B
XFtw3Ip1F0+HXMeyNEx4M0wX3V2fuukUNVChXCJaJR+mCgMTkJbAddZwHYHfd5m9iUHEHUTRhOti
1Ohp6bjvppA2IzOO93kMrOAv7DJ/x5njSgQtS/Ff/DmLc+6nlxCxl5S9W7s7UZcAmHKQDel6IQue
Zq291cfe9no25/Vi+j3Cpug+Uby6Qw31aT8wcJN6jgW7Gcg/5vg2/vuf7s+2PYp8LbJ8huG4OFN/
eX8DZni2bmfuLtEZVCFFBu6FoLzgL76N7v7ZMcQvEscjjwBL+w+Q809vQolgbDV+6e6QP6eE7dvR
9gMWam8k9fZucIFnjUwoTtT9HIRzb99GHEJHj8F4csKz416l4PCxzfCwUE6ZXbVmJ6Dy+LO2sSJx
X7ZJ8/jfvzX6r+8N67WA6yEWljvdxeYvNk3C4NACGj570MhYFGYjl2tHMByM/aRcMfe3Ht3kqhBR
8ZLOTM/Qf0gZ9ml4nHCde5gZpu8ydsffQOX/Yr/8BftFNzFi/vQr9N7at98RL5dvGdSY/Vs9veVv
Pxu0f/+a3wzajvNNgnjHJSexdi6Mlb8ZtB3rm4WLbfl1/8p9McU3hUsStwLXdJPbO493U3Rt+J//
bjjf7MUEiiOVj/TyN/+EP1s6vz4iuKVdVFvJdxF/5+OW6AYFS0mY7+JeU1eYwgeHiUOe0QIcx88B
bKEXLjXpARl+STNXPsDE0TI3Iqn6fd0b7iFmLn3HFSvM8bHF7mPBdP/ZGHLncp6F9RBJHxcFyvph
ysz4vYg087Krg/FAQD3Y25l0UHHpnSF4pbfW94QOW+x5VddeopwY93SPQUmKuA9+TVMJFlTZ6b3B
BM5TuAWPC/rxuqlMJCAQux4hsewQLFkfu/TjRxqimmMNcuMRPlh8pvtiGwEC5hJOJTahfLBKfYRz
J26ZhjhhQH6CmZMZg5Nk8OavZSArnjm7CC5dAKu7qIkKzxqT1DNRKjemGrM7YlzOqifYcdlB2/fw
UmBCZcI1Rba4gO1Ynk0AIseRZM+Wy1V/aRm9te2dJLnrW9GeixZcW+zY+SUBo2YhhuiEW6r+Ns1h
f/WtK1aQUtF+O3npd3V6aVcj8uTYuS96bZk0hOQ9R1TD2mgG8JoUFzm+a6hxbV0SZe7a+c3NAAqY
TOG2BV0DnhGSyGlnJ8VL0MK2tYTBsLT8ok2hRHlt64roTJYML6Idg8cWmMTzFPrNvet3/icL9szM
VJFpWSFccMuYhOFQpye6rKGROBQvGWs/lxIge+VKzc74GgO/sLaJb0XXuer9i4gsIcwgfCWQdqjG
suZZRV6Bl8+jcmmyGPObCBZcg6uCyfgM8qXvsi99GuXe73XGQgLn1r5uivzCpOEZCq+s7lKkRM+q
MrFuIudrGmMm9CEFNxpnljMuDspHtbx9wtnMCFy53ZMDZOcR3GHgIWPdGnZcnuJ+ML60kTRfJrCW
YiavOkTFYMLhYsTfw1C9Sun4Z6qq8fORwz8ZqSm9bsjxfiGx6vrScQQrzXFKeeYsHxMiUjrgo2Y6
Em1yrjJ2o0JL6OshSoM2GvQXGDzyt7rpOFIY1gCUQoUX9VQmBxmnGyMY/X2hNTgqzdm0bwZXFVcM
MieEdHs80gqFfdCsbbWBY6Q9O1CbHmmZTQ55MgyvGY72t8Gn/iVEEvSYSakTJk6wSi6mTlveRKNe
3Zr9mJEhS/s3eo+qRzma4a4uOvOl7MuApg8GPQtRydHp86MoyeL0HXr8r+Vl0LC5r4hYBCczLHos
LnV5JceoIelclk++K7l3hJAI9sYP2gVJNgbpWDD9XkwxCFpL59yd6QF9ehkdeaYEekZDGj+voLeP
oKk+PNpZ5BxhqU7cVLXi7Dsgbew2Nq6iGe5EmXf6pgXNdWx6p6YOC0oqCm9Z2uckDBCv/BSAJL1n
+qfiTvDZYXA6M4oaoUxk1ayjeNKqzTCxpAyvaVCZB1sMD1GNIrDD8iPSNSjHxPFcxvJehvJTreir
pNjGXNh6Xd7Ls5E7DIpRFbf4VlgH4ccL4DYUsal1Dqlq05pOH21nR1OXrdKreVWz879g4ebEi3cR
STGBzjCvpjnQmHykDLXRTYn2HOt5CC/aaCyeqQoJmNJwibsZtT7/3mDUHyEvBsarVZNZW+Xoyy9j
oTASsiAiMjh5DBFnlRqd8zLl5GFXoWaqBxzW8pK6neGZIdmcH7kkmDYCeTEdtEHIfNdmTLrXQF61
96AYDcpuZek8d6HM1MZNVX0tSniQJtNTFm1afFkYydxFa63NRyA3/dQx4BF4dHPD1V5Ipqd46zj3
jpSeN9SR2Tbqxj6KjLJem0KrLoc0xgY4jq05bgJDn+Z1ow1xvZvgMGPnIkx5F9k9npaBIYJG0Bon
mKhnlzxyZ9shM1NptHdlKLSTU8/ZtsvKtt44XRhMq5h25DsRJIzA8dt3L4i2tlzTtki399ANVrRJ
mikEzKxhJRGN9LnTp4xWApITPTzTRD9C3LUPut4yz4X/Mn4xdMufwKs0O8AnE6MNSwLOTcYqvY0S
x3/qQEWcyXR+VZNWv8nIvbXGkdkWyToKeTAW2dsOPejYIVi8TqpnpG5x+Hy1frh8A/TTgyB37K8i
B9dXoPfOrZ+oWV0HuC3gBlsZwfTEqYct3nteQO2E7Y6W3tYCxTHZ0JtYfB8g2o+nxp+CR0HFKZmn
1Go8xu9Mbwa7Hj65MdIjvYx51tT4iE0YDvKsJSgHK3pNuN4z3JMHTaOmblXzIDyXEIHvp9bmaJw5
Bl5UPecDWIQW9ZygxHvGK4H+0IGdPCeZZCqQaCKONjmte8/SwcnLFEplR6A+izNjjsi8N0Cfj0Wa
Vk9Qy3FaR0xEyrXvZINcmzQJwygSkM+IwnYvmpnq+Qrdlx8QA0LKSJdTL4HReL7MtZ4npvX19Alx
ujuxhupvQm+nJ3oa1CHNkYRXvjPHrL057KCBfxo4O874F5evv2l6UJirMHGHnSOl9oJaO57AjYiH
jLnmp96PkkxO7j4GM73zonTTGxAcQQP5SPaMxFDGMWHDY0EvGT5ZdNur2Ld0hlJx2D72vTW13hyZ
xSvV0eXBpaWDrh+zNO9khDFrxaqovedVO+E+tUWNS8DNNQtbjOKoAMw+fUMKmMud1vdxvWE246Lc
R0Vd7WIjE89tVoOdZdj46YSWyp70wRfWqp4G5zY24zDYOgPD4bqPZ+y9SZFcu6FOl2TrL9AJK5DD
yW8zc6XiOLwZ2hBQbaMGShQpLwOLk77zuyKuMI+qxHHesgtAFVpZlj7fJnWI3JiYUEFWQaXzgCQl
dGwNfktAd6smHss4Mbs1pZTOBQl8GxiR7zjEs6Pa7S6cwGCGl3QMKDw/lO2VoAqCjyczO+Y7Seg/
+/aIddfF8gyPi3eVwtXysWN+d9MOkUszacTvPa6p8QXJNZ/nkeHGihxec9vpaXk7KB//d0skbmtT
NbvQmgjoR+FkX8T0CVWwLUCQrXw5OdS+dfpWL/CYrM0+wTI5i5YTLYHXVRPX8ZWNrEuZqMqNt5mh
3KNWubANdAjxl3Y98o64aVJRATTyDpVWGe31MVBvlNKbH1yD+bEwKLePrj4OvL+4Azwkh+ADMmi6
h5fnPkZc6XbhTMqg0VrjMpnN+JxOEu1Jk+m8i3F47NlpywReqA6+P4sXvbGIG/fCZ8xzGi1AEWsA
+23sRREUuIGSSZosaar7Sks3+/S72DxKXwve4b9jkQia2b0A4XIZYsc5THPKNv/jJvSvS+NfXRpt
a0nb/uNk7+mzfkv/eGf87Uv+685outwWXJ3VSdnOMtjAq9/+579zZ1RkrZTg08aY/8fF8PfGHt34
5gilL9nBZWTlSqZav98Z1Te2IKEvd0b+LYeL5T9zacSS/MtcxSEJyVhJMFnhBmvaywzjp7mK29Fc
kiQ6NyDUedsvEEW6wuYEAMepu8hjGuB90Rkn25yLvcjoa2OBSJg/ZW55DhOtfbIGS1AEAS/+mcEk
q70QeXFIFww76nyiHIw2bb4NZK+uBOwZdehtewBVIKviw5pld2pyTODHTtgQXXBPdv02QAfBmT6H
dgIQGNz/qolKimRjAKtemKXB95ywDSGUXtmmp0xUG+aQJG7gso9jTi1hgomLrotkw9l8vJCz8E+k
hevuqEJhP4EOMJ58h4rPJtSGKxpaSdz3M3h/OxfBsdeVvWSRQNmtFA/00dChgzdEC7DigCNoV1Bj
rP5o1D677UDYQjvaU2jciXygiTuh6iL1MI1UxEsCnbPNQKNTjiGGAtqr0OF+sJEhtXuLwIgnvqmG
dLiy+8xpLogStA3bhcWQlQIfDhlhzIhv1cFXFesozhimQ5W/MDotajYimuqLAt+O3Bch/YmEKOGD
rqwhnu6G2WAn8BODjuO2HdN2TZNpTF+1q3FusMFxfBDsmsvDpHc4jqcm4RtYAacDETXxVaL57p7f
jHUvVNzT6eFPl34xuddkEji+wf+px03TiOIBCZhYzRxno78DppngbhuxzFp9PXJZT5ybpBL2h2C4
G22AkUgoMtSDY3cOFOywAffMppON8VR1UfekAmn124EDjmKWwHVjjcxcneKsy++wT1ZsEaoCvly2
OhWJ1tiGhJrwysEX5zt4shV9tuk607zlEFLsZVBFN3htQVr0lMZ8LMFJtPPQwJqKn2a4jNM+PLl0
u+Dr1m1k6JDThD8jZ6793h15C/zZPcBNIpFXSfBCHpyuRa7W7dfK6cxulcF7xOmIswdXOWYwaztw
FkflhSGB1tdFwHewzMAe63pO71UehAj3JupJwxA38awS6W9VKfa/lSjr7svWZ7iO/BOYIiJRshNw
qCCiYaiq29KrpeKtMHP/JuuRb9A0k2GbjLywFc5bbk1TPi2QDwNqdwWA6HsXgSM6qEwT69yXXe3Z
KTN3bglWqGBhm21257oRCCKnU0Bc+hQXOuRIq44fy9m9xB49bhjwDBToCCSjkzAquFHU26aTM8R7
0Yj4MTcGsYNmMm+cyJovArdJTxMR5G01Gj7AxGRwhjO8x1a/0Wv82vVA807fmPirenqDXbMt46OF
0HkXhIQFUMD7HS3bzXzIaj4pFU0CZ9EpGLwtM+yBb2CGaAu+FpXvuDJJmPX41NfcDKjuIFeSTEsU
kP0XymSP9cycRjvZ9sQ4MU1weqIbOYvJJ/laFd4OXW6/J+lQlR6tkeiTw5Tm81WUpJg5dR6ZDkNL
CSFrUMHIXYy6F1MdbJeKgisz6Kb5rFGc/ogBGWpRZbaSXpXRmqiekCH3NahPE8v8ym9CpQFCdECo
a1jCixGfT6PiDexhD0miwudtmgynO/R9KXm1q/+QpTuJruyqDZVpJT6nvt3pJRfvf23u/xNsB4Bu
kw3xH2/ueyJ+H+Fb+m/X9dv3zyb8w2j4ty/+fZt3vwnAHKZDXnxBeNj/f5uXDI2ZFXMbMy229OVv
ft/mTfMbFCgdfIftUAq17OV/2+aZGpsOeD2gHzqMiX92m/9T4JpmQJ0jiLSoAAT8ai1Ui5+2eQNn
BPO5Vu1yrIJe5DRTRSoLOxvEmeqD4yZ3ERGSXauk2tnawBpt+a3HA+4fDLsyvnNHz/fcKGlON9or
OJvZzsra+DWtE2cLAIeECyaD6qNqBb15IPXW6TAFlxo511uwYoTzOhY+qJ5t/Z1A37Qbw8a5xZMO
3TUUEAd9Iko48y073PZatp3c7gzkMD0h7hH1H+z2UM3BgaYKi9FDLrZR6V4Req32pRt0z3ZQud8T
ze6g7oUT0TXN77ZmruNfTeH/fA8iy38lPNQdZ7x+nsSovJubItxLy512E+b2XTNWnRcY6dmdInVF
F96wmYy4YGNFmq+mjhWzwpQL0Wy+HvAObtx4DIGVmfa089OcxO3sR+VDj8fvM0LoPLdCM4+V6u7n
RrjUFTbq2nQqXF6G7CPe1cLnohYVTUmiEDPthngit8YJ5/9OTdO4pkkieUaOFDgYx/aYJ8YHgj9E
7SSKLvCzMKN1FMFgdOmDOTUOIXIyvcsKE72Hzqg94S2iGyhqrItANf47cW/iP2Mjta8evNw5Y17x
XHDtPPML53XKtl/5AOYCKaxLIBkN7nhFWRwNPsyXhfoaLXpLGNKw26dUxByrZKmI5lJEpw3+hpmo
B2NjKnL4wFu8URpbdmbENFVRThESfH4mCM1t2U6rvSsJV5Rdoi8z9WZfGlHlDSYkKhUYYKQDgFZ9
L3vM9RgEMR/4j4r5GbQZPbunrJoTWMMVtZ1D8wVsZbLvDFWse8vJriKYq/hhFNhNu4fYWhskLBy/
2QyJQ2qAgckmk+EnrVE+YxnOkZe63seHrlIrfuniomxFdjEUs/sdo2LwMGJe6nApZo8YPFKOj759
P+SY0lYjyVLG2XjZh1IYN0gXIqczQwOdW1g1tcl1V34n3H9FqFpbg4cutx065uVsThmxTHukVTEl
kWQbfGoj7CwPoLiMyhvhXG21jPfMjSHta3Xevc4Y2k+aUuUtAzHnNNNgscVUXa/MkWovq4GlTelF
CRHhMSnHgkw5E69ao/mwnmJvkFj4sfnkD7qa3MuQV4dVk1KxjYDNF3IeioPLthDBtUkWGenFXBqO
6OAgLTbg8WpMjh9k9AjzTeiUDkbTD0UzlEtnhlbtNVlb23qk9AL2JKak4qMBpq4SP15z1PTwLWrb
uhjOWW+We0WpzdoV9j1NQ0TxcuNQ0j6FQB3amvfTWn39G5Dk335CFjmLIPcHzoROB5zF8mtCPyJ1
K35Z9iattYh3B8RxZUCxULaCP2beaWp8BSkQr3RcslhWg+oCfy/IbSj3w5ZsIpcBWghJfGqBrPWN
nMGHMdD1R4Y0SzaDQ+Mns5DFvjJOB6ca9hazjcqcq3FtdPUrduBtETLTkXlzNFIDAlwSfVQVuFje
4OwaukZ9QBKsPPDk3dHVEe6NKsusdZOA9ErqxDzkfW0C1U9Eu6FTzVj7A7bJ3u6jnXTH7JpTqPtK
i3z+ygGHA7Od5u+c97tLGVDXmVLGsA0HPdsV7eA8F5jyD3Zm+tdTFvW3/NHZ1nMXEXEyw+PYk+3m
UKM2c0YMcujKeVfYg3lhqGE6BKT5NQ6Lrb8NWiO4m2g872FpUpTJjz0gsSXhNoFfsuPuByKTnWaT
mklHXwoLxaZu/PqxNaTuBaZbPjLEcsnd59aXje3WoxAiOXX4uVZjKeMTY0mYml1jyEetlcaVOysN
DOVggMt2AxZYJYrPKi7GR7K59qN0ivw69Kv6WiWyP4o50/emboUXfiVqojEWp0dFO0Co4OrW7bpS
pDbx1etIQAMR/nHIkst+yLsKogDx9NBCd0yhBHrIXPVdZ6TumqM8o5xCN94tOnbuC98q3LWfPoRt
PFA8P8uBWHIzZ68kpIfzTMfsxUz7w06EzXjKA2VfZIo6VEZD0YUDRpjjJ+bzbQ3hwyc4pIDS1n15
AZnDv2JSXt7YyLZUZenBRCKQ8iJJ3d6mrodug+8jue5A6Z/hzrVw1nPGjYFZHkfbcW9IKBuHtPLZ
s52DRiKhLvKryQjvFhA4F0xiJ8F0HhsbY69ySJmwVlJQkFzDulObwOYR9peHGTB3eJPNmvallscc
NxO86dqlA6mmRYE+pxXVO3I3/1gduh8rhbUsGt2yfNTLQqLq0FjwnMa8aenBaPELsuhQCpk/jMtC
VBvWeMyHhehXGtX0nPu92hrDxLKmF9VtT378tOD0XyXyjQe4DwuiVhtbCktYHeNloXSWJVNPdTCg
ybKQVhR5a3sHCSRatz/WYeGWiMCuNrWoY1C57ydRyCuoMZbvjcvijipEeEcVeiJ3DaDyo9aXYIGX
zaKr49mj/Y5tJC8D9T6UsWS95DNtslhH5amkUITer5awWkEoaufD5Iu8+se+NguqyIJJa0JK8aJ+
q2NrpDqk4Vfk/Ng6p2UX1dhO52VfVT922MQe4nXeOZJsD5uv4AzluyFwy2xpF/RTpYiCd+MpS3Wg
E642Hnw8LAAesmxXsv97PUVoh7jrjHbVqdDyuA1Z63ws8PQyyySfgYH2YLZFe46DzHgKC9u6bBup
bslQ+HS4ALDBxFy7n9VcGtcjqhXQ8K6/jqjieCBq2t7hRR4bL8DgeaDrFMMfQw+89AgSjFPdgbbV
KDQvbc2EG6GRCOFgQzh4sAzu2xxw5XUGlxb/fZldth3x31U5OPX7WPfPAoVvARks0o0p5Dbzlb5T
zInvnYAXHnN0PtRaGaB5AXy6D1yUmhWONnNjQsK/lnNhHjA0WndZXNjXIy6ldeRQ7MRktbgviVwT
ABB1ejC1KG69LArzHDyWghyhlzji3DFuzjZJ7I3dDy4ht0i8j1zuPswiL3mP4VjgQuZB2w7DTGur
jZ5TrSDEGE90x8gdcXee4nS0o6NjlygqtdKObtUP+ywex2PsIDGtLIbkJMDsgP5eTbzoo7qeg3a8
J6ABbKnQ0l2U+9GRVG0z8qYpgn6TkbzGpu2TBxXSxFSate8M0YLXsmuZ/DgWJrUi8Ukl+++C1oDN
0i1H0D63T0bp8uHXnDZd4DbRjYYVidw3MfgVuW2f0MVkW9cRLwOABoXVNqmxggB6Ec+fwtBQ94jV
M2/WaXr1Sppgtypqqw3mNPFcNIl17KemO0uTAX+go5eS26UOC/THwTHgaq6GXFUbZp+4AjgIr1LX
PuKu/IJz8z5BR9mxgQGRc/0iPzi1VDztlNms8rgKbtG2px0rD6dLPxGP8RiR0ymyRyoijGer0mHS
dGn5hBUxfsIrXX/S+s0sQYubfd/OrzTwPpp2ylAtxqd5kFZxNuzhKkaj5eSLS74bR3sDxpvJk58y
49yInsAiCmlhi1PNsP+goOWshZ/II6qVuWc0GG/0Wk4vkcbnVADvOI2D1nlgBvwPo46sHTOzeFiT
5+JsO+cgFIaRKroxBNHehRSGWJW2tfXJuCBUEp2oO4Hg0eVaAemqN+5DDvHjmlxv+9kTE48BsDfq
Iq9yVhsANvEd0Cuk93loeFFZkm2d2CoR9TEruHHp9jyJEg4jI1Sbf7WP3tKot1DIyvoIRgOAlmp4
7X26pIIVNAmdmI7ihU70WcKssTiTXyV2E+7z2pkJaKUN7e3zyO3BpBwNxMxhdF1jF0m+P5FX5znz
aSqlEHByz5mbTzRom8XW1DvnNawifWf0EYwnpRFcz9KJp7aeBLbRPIzJ9xfNIU6bF/wn59kRX8sl
ftPrvv7W9ppzhSeJ7bG8bxIHKosRts2tEeCo3g0RCdIY18TKDNVj1uacLDv2dix1Oj7letjBB2tW
hPzGnehsVBNMOo9tMBJ+97FFUsLb1yxJfesFllHelI6f0fCLKUvz0ly199zR53u77Mg6AQTq1roj
LyA34Yyhiz29JkJonAlwUJDqB/YZk4RxA5O9tT2LoHG+g5+o3Um26mtTzwco1e9+M+M9LEcI1gFj
7CtMzNa+jhKORVp+ztCvLFHZXt2kvgOCMN7ZUVexisBvkGOjeZn8PlH+Fm+xNqP20+idrwfX0T3q
KS7aAaGUA+GpNfpLKbpnlbzCOp7CAAEbzQogWPwVy+AySbJ8q+pS3DjSr174fLF5YZ24GmYnOKVh
Xj5jWEbxBuqoybXGPruDRNe9zLLBQp+55osvEvlkY5VYt6KxDnTExEd2gvDCTn1tzdR/sRinhCi0
hkNFHBzaOkZAcygD6sYuvMGrZN9Owp9eaUqZKU0KskM9W/56jskRUoQk0z3wITmznzrjM8IWudq8
AEVfCCPcB5bMDik9JhuAzDMWKRD0MAHKHVm8eQe82NqOThHvrSXbCIp+9qbUnzZ9pI8M3qSg67CA
9bSqTeFfyzQvD1bVjdsAnN6GaoHwoabpZdcbuPuRMStaJGt3H6QpqfAiIl/I9Lbb8jMA9Ajobuzp
3nyu+mnxCI0BXIgouw1yFlGiM9q87ZcNV9khdhM9eUi1qTwmVtPtaO/kQJaE1BE4hJ483IX3hISa
zdyVBT2NY0cwiaaipTXQMeiX0AZ7TTMjTyC8cBbsuYYEZHc8WfwoBUnjjK/o24z8sk/Wh0QRDDns
XB9lkJv7MGGFAF3eeE1rTzwqEaQ2Ax23zfN6pTPmhW5WsJoNAzDFIJHe1CUYoHTfP+co87kbvkum
E3GypPL5itA/1Rl2CvrOzA19UujUim5qZxCbVM7TkTFX7nF8uOVyujZcMk+0fgA4szU/QyUyQFgN
vYNcA1Y5GiVZVCNyuKCqJD0RCHB4C3z9MNSF/n3uejIuRpN/QXQf0SlUdAA8zihX8/VyhUxV0OcR
J9+NtEheIFLBp68Sw7+1tN495xy0r7mrENmMJFy/yWa8gnPJfIw1q1+3QVS+ZLZJc1uZFqd4SaxJ
pyRggrlgL8wo3SFbVBe5mTf7hphXSUMXWFInXYFonLH9xPqOJ8x8aLmuXbcaDVM5XqVNlDEACDH4
6SIwsY8lp8KQx7HZT4r3E7rYCz7INdYYdQu2wEUCduJHm6KSQ5Wk6QUYIUVYRJMHf4ivAzhW3f+O
frv7LBYvbPN/FmH4A0Z+HRH0+b9//GPz25/hBi8W2j/8YfNj7HpD8Hi6/Wy6lC/9zau//J//07/8
3ZT7V8qs0BHbTeenmcCfHL3ntzwqu/oPY9v/+rLfJreu9c2xaN8DIAHZ+GdTr2t8QxylLgASoOFi
cce5+/vk1pDf4Kcz7CWaiJPNXAi8fzP1mt8UTmAgrLiKwCUziv3be/D7yIK37x/nF9Qvrl4lbMm3
cQzp4iTHXvyLQCspJyk1kbj7uOYpnkIIbUFED07LZkjw1Qiwto73iYpzPropLa/hPD5QgKzdUYD0
VAduddYqNd/CaRlPDuLdLVnXGx3L7CqZuYLp+Kb2xlgILK1NwE249h+hApOdSrRDUwNosTpFGX3S
3Gq0CLBwjCwOGhkq2XN2xHF3HatYKRgFGafAZgnrsMSSHHci+PSl5MjuTpNaj35L1nWYynMdW2Po
yWoiErpkihFn412EUriHLmVJ4J4s8mmXhc9RWX4m2GIdLyDhV1MdHL9GRvw+uAaTWMsCzYfKnFA5
expU1npIoCRbrOlLaJCwLMBbl9Cx6FNmHbqNg7Q6uwnKXEd0bMj0ZF1HcoToMujrfsl9UQ/8jP/X
pr62rAAk5GR9m2agOkSaB6GjiMWOC1dJdMG2NjJ93fARwdXWZuWtGOLvg2wsjmO+vzbDCccT8bpm
rRrxmuljxj/lQyyZjCKA0WAFd/3AjNcctLu+c9KbPuVmzr2L8Xxp+eJGDo4qaRIZQnBjud7THV0v
/yZKG+akZUREe3oo8n1E2O7GN0Zt2xLqW2CXNVKjltrGPuUOrLHbpumpRACOt/4M1WVNrpzVfo79
tt+iSbmnvmi6pxY1uz40xMtCOu6i/li1sgIs6iJjw+SfbDI8juj9dbzcojEFW+LDrszxkcoZJhHK
bThjW05VTfBJstbdTBpqMZoYkMWssoKl68KRjI6QSvFt00713DZ2fZ7b1io3ekF1+jqg+vwqDPJM
99pBw6zWwlmhOpGpjZsDxIErqt9MScus16WuLl+R2UqdzWDp9A0ifg7DbUwfabgnGttVRz5hZgAP
OQhm5M3KuNS0If+ibS3DXNgFwaadyrrc9XYFuzKe8KYCcEPdHDjvE9kfXNxkwUElglOcHLjWS+wI
os24bptihYATbCzzEjnoOW2c63FpE0kjYeBarvdhCzBJ1uKclnNAa0Jx25v9u19ad8iNm4kGrUta
VpjxJOcMdN9FHPjQkIuDHZ7tjLk3ngiYIQFlUzXgMMuApNVmE5Z4kZjX0WRqn3ycvQKIiNvDKWkj
2ImjuhGiwhu+ZBtZorYUqZYeL/XLnG+ytvcaxdfoevmcwWS8aYQ4lHYYeQOZyHQVOvjUmtj2ikT7
bpGJvXNLzWcPb66x23pkLxsGSXXAh0EFe/Z9qFdmeJ+ZQC+TxMHlkJrBHo4F+76doZNCxuASXjTr
ifjAhjIb7c2ylkuSsxvzItzMJm6TvsRDlissHlVhYqSKKacgYlV4vp4XZxHF9qs7BXdGmkUefXrd
bvDTkkcm3iaUlHu66bTrjmbAD9zszabWp42uRnwUBjkb01cAPbn59NK5Y+k7BxyKV2Y1GceE8GlL
OSqG0HRrTRBvKreGaaA6IEzie/r/2Duz3ciRLNv+Sj/dNyZII2kkcd/c6ZPcXfMYL4RiEOeZxunr
76IyqzOkrIpEAY2LbqALhUqgIhVO0UmzY+fsvbYT0pOUExCx4MqkYb7uZ+jAqBLutbk3fgydm34l
zO3tp93pn3SsxTvm/PdO9hIzDGgaLimUJ5TvpuPiGFl8iD8N6gqGNBrFq7dHHQepNU/EypszTjkh
HdIr+ja8JdqsbErFOm3POpi85zABuMgRj+4waoQhYp1E2ilXTJi860SQKrQJx7SZeC5jHHaNkZYo
/nuG5GVTGLT4At5noxmIe3WqjK4A+jssy1OpaPmNVdNfpEakol0USq05NIbNYlFUwZHeYN9vOa6w
mmjvK0v9vsq0y4IzAlsi4JDZt9jzXiKtbIgyWind0rZulCa3XaJNuKNr3Tk0AHkPzSDDbwRYlivR
hVtO1+qUBeSRIO7bqiWax0z6k06a2tHWiyNwsOgI7DbZMMAaQbuSo5PnobcWBTL2Xpm3dIMRi7Cc
nSS6B9ijAlxmT51vAGjzF7GKWRTiwlROh4C2LB4awjU3tRllPKttjX+2TQ18wNTrxCVD/5l2aEF4
W6Se4Lpg5ssqZFVGkpKJ1RrDcQE+M20c4G7Yo9iMngSVW4PCA8FUPEa1N1/LgKNIq+eklTXJcQoN
61pZxcyZgWCmFxYFxqa1M29hTZT0rGeSoHIQclc9Ku3vzMTUJi6SmyYrxYXUScAuwzwxzoS7pZck
HzoU+E2nL0CZfI5pPAt5jIBDXRWoP3ZOH1nf3KDXdoaWddcBMokVhL/wW1BjtybiuFZfJoRi697t
BQwTpd/EPQ1onBBfLeRce30EmgX4r+ZonjfXWYQ1BPPyLstRDRvEj7Lb0etTWn90wxoT6NjUmyGC
U8zUOEazuUIWy3jNfo7Q3pK0njxlIdu/lcJdKUNv2mhuhMylMu5zrwNppMZ9YxE+BOuHlpH5nXzq
YStr7RuBjwWFt2XsKkAApgMSyUhOUCnA6gVPQYgkDBlH2Q9fY4MAm9K75JTLBEchzgL9RjruaCCb
N3+UQI3PqSL+EPx6s3Vphe+BCbzabtteRLAP1y2T3u+QtgZyVd32Ji/FdGhbTqtJhd0oz1N31/ft
tyWeA3OB+b23Mo/hXSNJpw5dPzfi+Ggl2ssc5eEun3Tjsqi9c9LME30eJWA6aJMPBooOSrfwp1WL
k95uZmwPiqQ5mI8eX3aKomvTwTGgStiWVdud58poADpO086xqpaoXHHXhMF4zgyD2XIusEMbk6T4
ILIqHB3jJmUWdU2KNpwcps9at4ReDjp69YC0yAs0iGIAKkiAHWCSfiOUAYSjD2Fhp7LcWlDr/LwF
GG3mgj+N7RDXSJrs0KLB082UmF5GhOHMIcdJPDmTAvPTNwiaMbF0jzVjuHJVxEnCoY6gvVUOLW2d
AFgDTgfZCzk0UKmQZmWTH4Nlj26W3Tp937ir901cvm/oJvCDeO++b/T9+6YPq4kCANIfxQCE0OWV
fC8S5FIvREvl8L5C/68O9u9OWyhX2Iv+tVTm9Jq20ev34ceP6sNx6/ef+0MlY/3GcQmVmCNJuSeu
gsPMH2JYgX7G0KWOydmF1LRMcv8hhjUQwxJ+i0HSMtkelwyEP8WwBO/gemTygy2OkeG/c9Yyl2nw
n3svZzWPBprj6AYRjS4a28VL/tPey6IbAAAqmN8PgDDzdsdYIzuFefMFC/xAbatjtBoKROpqF7jh
MjrWH9ED6Key7Z/NIXlRVYOCfF7ULb3ad3V3DcWCjogkVbJEsenXFcjMxs6eO5d2KqzR5wHuhtdP
F5iIBfgqWaEmACoyJFc/fRv/pLRAS/T5lyOwA6WvCQkNYuenXw4eYNTNE7RkTiKkHitMfG9FU13r
8u8M658/yeKbtCU4T4P/WpbHCf3n2xhqjeFwArB8eI1goQqAdhqEY1iaxLP9+pcyP52O6ZNJx1rM
uAhb+Yf4hGWYZDzk2oCSoJD9NyeoHcQJxROgT+as8ICDnsNWJvvUp9lKJdyrdq1LCCPM/CNMLkO3
pwO3s2LnhX/rvijys0Y+LTEkzXOoDcdSOq8i8i3kf2iGyq/NmE9E00Uwt4v6NHGoWTHkGwD16BcM
39uDySBtDXll3MA6GvwomF5lP7/UdfzFrJ18laW6/Xd8gOWb+/OxRdiA/d6zdVtISasCL/HH+x3Y
sCE5D3gcBtxdRCvSyMd6zc4I2YfpQ/lc5fKVxHokFnTwF6+O1effMy368esv4/2DPl6IY6C4MLFI
0yFwjU8XAiVxDPPQhhTWLZz995Og5jy7Ydv4o5F9yxRE54S5A+Vho+b70p5u+iBxdmYFUCT3xI2p
mrtl5IMJdGeFzuuchF/yydjOmX37Nxf7F+G7lFjfXOaPi5+bJeTjXStoWWgpBsWNrkMtsukqOvpw
b/X6Xa3Jc9XF90AuD4kn9zNpCXGtP+JybVbKQmFG96KZUWMYgGQ6OtUzEM1IoguqGuv3/eZfNoCM
z9+uI9l7XUGPmlcJgeHyBvy8KIW1I+PY0XyQjXcV8RbbIc8HDmLj1bBo5wkWRcsK3MGSmMbSZv7S
1/PdlDcbhZL51zdtuSc/f8GfruUzh4RBrZFlThYQro1bi/NJ6hmocDn2u2JHPsHffNz7mvT58zDV
62zZBoSJz/Idx1y8coiifJPkvxUCqnLldo2vcuywk3UHVUpsXaBqfl9q0brOnfhaRtMBP8IXZ6J3
nhCzsQmHHKyUVzwHiu5Y623zpL0HtZcekRxBMsFxg/IhvvEQm/uofVeaOZ/cDoZ7ArFuVRlFjeFK
rGjcGBvwOUfMHoyfChuCrFWfshr6eTARyF6RDbYnqGbaUCPTHoPRtRJNaG46c77+9RfxcYnFTcRD
AQ6GWCmDiCkkkB8figlGeFt2fBEzKQGzFW6T6pLwLHCO519/kPjra+LoZH1iR0G8io7q07Zhz4g/
OT5FGzNxMGemPwi8YaYCEG89e6byvTZ6SsbhzqqBC6rp1pzESwAHG31e8IWAcIriFqrTTNrmgioS
913XAGXPdr++Tuuvj+bH6/zUJtUDDwdaBXAV7OZp4pzADDFZ60n+HLBBr2hccQKt+pjxWwSccSzO
zUhCrFvVz+GM9b0cZu0SP6OGd7U29yTK92fgRuD0xZDu7cINdmEtrYtZQn1Wg1Wuq7q77EuEcVal
IDJ1OLM1USFh9fhgqffAfeeJ8rq2BKH1dEVBJBE2Izq1K6zyaeyS1yBaZLPVMHHwUo+g3KQP1qV/
ywGX0i8NIcCpOjzS45y3NDkff33P/voQUe3YFlUP27TJDvLxIUo7j3LDLDw/tAPUfymLYL+OyX0N
KrH99Ue941k+vsnvNQfUQ6xOBoajj59F9CcnG7P0/F7M5oVS8xMSRvNYNXha0alZ9AFwghfTuQ3f
QofBSwk2akX4UEN3tWx8mFaSL8Vurg1v+puLWz7707XRquetRZu9BLZ9esSzpDdyG7Win+RAzLFY
2tpxrh/+5g58rlQWjbeOYQvtq+Fg3vp0BxqRhorjdLhJaLq7ozPuJ6IT/cBGiBxHi/9G3Q5hVb1m
tf2QkEFvwzdOdFhJjgW7tJ6XvLomLiBKjNfMS6NTpkF1awK6dr++1H92pZIsP8ImLRPZ+KfFpUvM
ICMrJvBdWbKqxPm2T3K8DKgiQ52YKkm6LHS8o4vY6NefvDS3PnwT6IlpiWEat9mV7c+LDSKmbi7J
IfIZIz4Gg8MS06xzDwJmIW7xoq9jpha//kjjn30m7TZ8VR47LPaoj0+mx5ncclIbsW1N3rCg6YzC
a7yosOb5Iqa0z9W3KO0f6sh6TWL5KmYRrQPta8fkbB1pZXnpjsVb4pgHo3QwaN3/+vqsvyzArqCY
htX87gfgLfp4faNWGwzCO43erfJjnPSBHZDuzesCTkCC5p3RyPMQDaNg5B9dqFl+aWFGbzsZvDTI
uVbM2W9pfr4lUbTNR3jsPV4TLY0XFTsNFASMdsnEviq/SfZbvPbhtg8171Dyx3NlDRf4fmsSI1p/
OYNvU7v9MeX6vZqsF6OFuLGkzjaA30IU8/2SZPPrO+B8PJax2dGn4tjiUOTy7uCo/ngHihidhWtE
jg8V4l7k9s1MogkpZxrRE2OGgAtAQGtHZ2h2xNWAVc1KG1Y9w5JNF7a3XTPcYmZiM4AKhxXJWo+i
YYN3GELQoHAQZfm51w4kSzensO3IBp5YvOuBGc9AiBSSYdzN1uDHQfCKWq9YydC9602gLSI+GzSb
0gyBGtSYPoH+MOgI3rAGfQeeWPlK1JeNiv2eCyUEEabLeBqT5JRmqY3f3X7tu87XTDOExD7suk6e
IYrsas4g9A9TB+wdFFqLsObNSM5zqenGSh8M+nz56E9GOm4jWobmSPg1f8QYvvpGg/6qzJ6dGSJO
9+Nvvgru9If30wWixiGdIZeBm+XzyqBopBYOsAzfFCSl7W1n35f7GqVd+Ufp91/dZvmfNK62oRz8
dLv/Mqu+eM1z9R//5zWv/u9/HF/bKI+bD42U33/+j0aK/I3dhG/AQc9s2Th6/rORYv5GcwVIIFWh
w6pms+v/w26E4Zif4Xi+dDo4NfMi/dFIMcVvwpGC4xBLPmUlf/RpSP2rofW7dfmnB4U4EYvXlhX8
01ZaCBUaCoPMLgf3T/Yb7gLwL9a8QgreX1YWvUQCd2g4r3BvcopWrZVuwIbUx2nsg0MZhvUWyrB9
KQvOWLCOHT+LaANnYAk2WhdATam0kGapskkwQ//H8DUwGUuV3XTIUQsQpB5NT+MiYnPQHm/aWo/2
OJbrK0OJ9ClkxAmhqYx2+SKDGxSnAC/0vEMxD2jLFrlcXkTNBSp5a8XWGL+6i6zOieEi+cG72q5d
hHfuIsFLFzFeP9FYLt8VesMi1ivfdXuOa7inWYXA3SHgdD/Cd40fjgvq30X41001UM+67mOgna44
Vcv4NnA5rk+oBoEu0v91Ccr4fQRdLmDZdUBxuSsX0WFmpyQALULEelljxraYX6B9JAR+d1gqF+li
6kTTvUqhmR3bsA3Mtfe72FHl+gI6yG2w+RaofJGpVakNwdFOnOqrBXgINXul+W6oGevkXVq5iCzL
pEifkK9XT2gP1F5fxJgOSk9nrdsR2JlFtDkjNO9IZo2bb9hiAwYrhhQ71I2pTtp6ax8GracLLEjK
u9e03BnP9G4xgs0q894wm8z7DGDYIkXTmqMEgv2qVTGrpLBwdmp512GUZMBK0AJ/S1xFVbhWZtNt
4PxogIpZIoFSGP6cMauMln/TlGJKiRFT4haLTY5vmm/BF41ZPaYx6C9G1nUVPuD5oDeS9/CxYVO3
DnJ3PQeCYdF+vlp4mAcvr6Nrm6b62qhwfPN1l4PgtjWkW9Uqmq4DOu+rFlvIxuKvFNcNl/hKzCg4
I1sDSFZMNRFMjtbhpMVqxRjegaODeLs5RJY2bfPICN6mSnJNLcgtGEZG5GEZ4lGJNsFQi1tHtsGr
pyuytsE+8D8koGDXiG1GH97koa+sjeIUxF3r63gdbmwX60WML4HEgcqIt2oGmiNgFN3GVha+mXoq
btJOsxwf5u9MyBx6SW+VOW52lLKpzQvcX+6PMh6tYe2NdhY8tPAsRrRiRdhtO2x6SEwtW55qKTvi
RHmKmz1CatSeqagfhRmZbFuxATeA9yNaegOqaofvqAZEutFIk1ZwRV38bqkdoGrrEsva40JmsFZS
DyypYbP51TFCwMJe1EWIzYpoOLdeqkwqoVj70WvGfKfoQs7s6aEmIdnQJYHESgxmQzzwXrQZwu2e
ZgB8VthblHOGPX4NlGw5vCmMvX5pyeCOUQNJEYnHuF1vI8fYYNOZzqbW1G9Bu/jybXO+hyKfsT8T
aeozBam9XQ7YATxJLQy8WyIWgjVIQVsDeNAIQhIheqGNnpCaa2YbotUAmotkpSacdeMIvIsUPc1J
mTK/KUoqfIoWN/zi1kN724twALwb42vD6K153+YKI0YX1N1zGBJJvKoceOoP3pDot5h/Uoa+0zys
C9whBamHoJZKb1wVQQ0mvW1N900vJVkd+Vw7x65qzIc5F+OxHmIW3NHo0IyrOdZOkOIHqrggQP/S
lfjrd5mR95eYNdy7qTHqkxoy5sZp5VImlX2zJOshBl0nkTIecrMZvox5OBAwqE/2dQhoHEtAPzg3
+Wg65GvNEhTwPJz6RrMA30UObpLECC5CpterWQ8HWDpxvEW+ZB46rQ8h+Bldt3W0JLu1CbwgHjTg
m5yrqPmBHj4mB8bpZ/qapoEPMJ11sdLT0l4n5jieopipVDgFAKZobJxmN+9fRBtinLcgCsCuIUjD
y8tldXAj8p2CIF0bhlVgaTSrS87hDpx6rxY/TAj1QFV4cdN2wvmju4QJ1sptvwVUoZD1C7Ht6T9f
zO6sfuSYGLal0fbM4ljAViSVpDsTF8MFrOP0VcQ4AekPiPAqTKGirekaxduac9A6bKRJOK1lsY5U
jjrCGDCOfY57DlqD2lX0I3aTVUK41viZQ2yE6Yl8khHtVSR3RA8mF610a+5mVz8EQ8GxiYVoHRZT
sE/Hsr0dmCluwSc6923iLSlqA9L2nMBNaO/x0dXkJTbX4tD2GvFApKjEKyeRzsljRf76XtX8V5d2
5/hbU7blW/dRe/jfU4qIZsMV7224fz0gu4heUfi+Ft8/VHV//uTvlZ3r/Ea7F5s2YBYXH/mSw/37
iMw1fzNNWqEWzQra1ZxT/xQjChexCDUdIkbnveT7hxjR+I2WgwDR69iublPY/Tt1nfOXNg4zMo4A
LG38dazu7zbzn5rR8DiQKWkT9Z1BAjxzX53jEFMgM9q0yla8H3Ygn4jt0DOf2ALE/VWbsruGUxMa
ftsKCzdTVfd3gz545sqxO3uL2Dk/u6PqtmTxdLflMCFAfs9BsvMZwvyUxftIlQWnXJn7QD2G/eAp
OZwn2x3Gk8Tbc6xCsmmvbKVCb+VJE5HG4t6Kjo3jtGKTYN+8JYbVnlY88uCSbGcpF0biviA4Oqw4
mFegyNFhtnnwgWehBfYKu8fwHiS3vbLrPfw34mGNsXi2i3L02J8M9Z1fzliTxgEFUYamuneIkRzW
RNtmwaIvJCwc2h694kGyoA9Fbm5tS/acK5kFldt4po1INh74/bhDKoj8EAGfH8Lv1y9EGpBlggKa
Hk9Cc8rZJw4kAXLlkqKA9snIag3cHmobfibtS0kb2yMYmxCoMiiT15rIzFMrWO5IcSfY5jgKR599
N5u6Yp2bDvKetGnAr5VLUAH7jXrJKDKhzi1BBmLWzLfIWtINtI6gA2jeWAeHnl28s70WAF2LpHNl
V2O6N5awBG3W+pvEbPJvJmk+JNSAKss2Uz1oz21tscoE6HDKnYXO7loTdlD5wgpBbs+kaQNaKfvs
vjSzflrpyOsawD+STK02c403WeH3I1WE3MTZ6cxgq4B1YepYAHBx3MTmmiF/gyrVWWpXFaBmNFCN
bo2q6Kn12vq6mrSK9a5p9vjf6tsocfXLGi6otkpg1gx+ZtsQN+28etXbbkQpkkA5m9CIrcvKSS+0
phMbSQYbdVCFoD52EefNQFZ2nVWX29I2pm1EvCWih2A662EBMsZO28exKuMny0twqZtLRge54i7W
mW6+M8pxhLeOp8fqxn6d4p67ShDlb+gJoPSjiX2GeOZtFX/XzsnouzCoRI3Udq6PWoiY2pZLGuZG
ILGMoY+Q5bfQ6oILwIblXuSRtyVhotjZepQ/NjinyHoxH6RpoVyVoFBbj1Zif4ShzZPv5fG0QvuV
3no9Ktc44jcdlO4itovbY805zg9IIHjAWEAUpFLjhdkVzMAcqka4Pljx5IQ91Mgt7j86/PCa9u98
Y4re9aciGa941s1dJThf+BGNmTcXL/ENDg7hJ5zi7uZwmB8Xwcye6nPytkNS4wwwx6p4xJ8inhAA
Ua+XnXpTBOs9OoZ9wBOg9lbK3528Z7G0aSevJ5HXL7XI25tiSW0ZvAB0QQ20/E7ECvRNhDJzDR7G
XlpdUwaqHC/yZjCnGWeyFK/DDIwPCX5rPQhRh1dWn6V+M/T51zFMnCsXN/aXZAmZid7zZnrZ9rfA
u4I9tB3jEOdl9t1pA4/69T2vptPs6Sp5T7HxlkAb+AYGyTzucG/OzvyGdWKofHfQs4cZBdzNlI/X
DkDlfjVGMADXEKgHfk+t7n3s48YLHaJI2ylyNnB9ZVlwSVCBuphYI26DMQ5/kECI61/24/SUvsf2
tCzNe/M9zId+rvmWNiXZIa1HSPeqTYW8V+8hQErFmGoyO7wlcLB4leitfoheFWQJLPlBOqxOsSYv
iHE6ssqTLcLOWIdL4NBYdZ4PjothUByMGwQVtL0kz0DTTDUAL0FakRUQXASTArJOkzUczsg145g3
uURQFFOkrl3DzEhhIZ9gVUlQw2u3E+0tEI56hyEO5F0PbuMuSep4IyVZ7jrz2CP+vuA2zCzrJWgI
ZSn0OfiiDe2dXuUjMlrFSb6C/XXDyT3N9+VAjmXfAsOC9RqqQzo2ggBobRIHw5jMk0zd7pzVSL85
F3vRVWqP3iVJa9STyawpbkRmzTeDbMNhL9Ba3xGBmt1HfWh/EbDTNn0fOkcDqtiNWRBxGVueRIkG
HSNOVQ5SQMGMTdPRu8qLaaJfNnI4Txqt4SXrsfBm+hBrm67tJLLIuI5tmLVI9nkVxIPEn3gDMSM8
iq6XF5MX5K9jW3uvWmYq9Ko61zyYZvOdQtnZjmUs7nsjxsZvFc4GBZx7Cpum+kYI9vDqVclMuWva
HTACLa0VgW9Ds5cTJsAVqHxUn0bBgaekf7tUG3ulkX7Z1ybyNGFzeu8CqGPJgJedWEPu6EQJvnJQ
r2yRlUxkqPYpsEhLk3A+3bzaEhXKfutWXn3pRSwvq9qwc7pBQz+8wv/kwBzluHaibkKd3Nu5ujJS
FaU8dxYnGrCkxTmILeJxVTzdNMB62dkZyC2npdxbt6XXonNIGH6kFKunolek6cleppdtOzLDifLy
IsKyCI/VTMR3MKS4qDShBrIyTDM+ekTnelshev1BOln8yJ6NMr6JKxRxjlf2XwjWs49Z5iI9lLb3
4EVI+gyk1AVWWUQ9KE6VdsxikCuHuG+Le7Ool0ZU1yYMjzTdOkbFZD6VlU46+mg3h7iVEitSW5QX
PZaCY4fR63bUXQH3isQ+elkc+N1wiWSbh+u5aLkhHovuYuPtnog7L9/gi85P+kDmTNbV1Oqzm/nJ
7Ba3HkNGEBamIEBQtnKR8kewMgfCGFaAau3gkDSVPMdRFF8SL5M+lQQsnCnYamsH8QX+Qd162cmb
lPtCCt2ISkQ+6xayy0mmo0/0Ao9zaEGJaCrrHhptSkZnniG5N9EzIVVvnYcEvjxJNxnBzpGdZi9F
qA+PgqWTAYRoqiOgUm+DBElHNTCLEcsJOQcyLtVhmgAQiK6WuyDQtjGacsYTSUJadjz0XyaBrhYW
n0WUjemkL+60yIgjZbr7BijNpTmpCHOeofc/yN3zNgq+aUNhtNGrxQNutotFyCUrgsdfdal9NDr3
3oI7vBu8/g6lUvXUWKRc9VYDLMbpIQHMSW/ru1Frl4SoLMzuYh6Tp3rUR06K/byP6WTlG8M04lsx
e/14oTQbSUCp8ONs6NVbzx5xxF8rGhlEArOqQzvOPFb1JA9atZ9bcoHx6VDo6GHmtGu+ZgRFyBOA
EhMC/xLXpBZFZDf1iA7YPndBIoz1HKn0mgkDb6pXTihmJ027lmV8n+mhc70Aju5jHbc5o1MM8coa
FMjXciTxUS+1H5XNyKZLE3OfZBNbb8lwOdTpq+AWNu8H6xBwy7f4MldE09nnNtf1E8dPazPkDfZh
j7ahU0T5ITeA3OCuCK9bt6t8wj8unTw2LiWlMvNJfbgJ6jI+MZUytqkWI8tAIEObZwhERPoFPTi/
D0qxhSCVXBrjSC+hzgdaQi1M6n2eht25wXDSrhqOM492b9Mom7syonszFXR54Et1j0S6Stc3Ryt8
rFnr2MEm+7ZyBpH4i5zb3Bp1kQEz0lxPQ2Dq8XQ2oOyGaYroTHQaqlNSRLBXT+N84TZ9/dxKQz64
tA6xtToBvpuil4+tLO0bFjvG0zl95BdeYH1rTtB/1rlG0ivvTHHnzGN4rlK7YUWF2OR7c+VivNai
Nw+iI5iOAVyAn1JvHsizgkWQzYUHq9fpWn1f5Z3Ymi2qsT2OeLNg1ZwMzVewq/UV6ha8ELNOTgjG
xdDEiNU68QZ8CIlRWGi1V41MlLsipFW27qjZ/Son2ITeonopHTlVPkbV4qxcZ11DFOjWbQKKDuZ0
r1+5rcxe2nTkhBZZhClctUWkmytV15nt25GlW7AzAoC18JKxBehgEU1S7g2LSpNHGXa/8ABoKg46
vRN4OQxrHtV1rkgJu0BFrOFdKSYwFnI2ntpWs8JdJ3X36E0DrqdEhPFDqbn5hKC6mTDYJqX11jZW
WO4qooqnbaB3qNl1xwUnnIU8HOS1LODnLCvhLbtAj9n0Mg/Jsjvd8s4MK9vMsdF30Uytwep/JPB5
36i8OMKdtJ5YluxbCXAD03vgHenCdXfjlLYp1dT8BM2G1qEX4Wtm+U26dUMDGa5LLWf5+zTz/1v3
44Mt83/S+At1L2Y4plH/ukNyjueyec0/9Ef+88f+cGuav1lA9jiS/dED+b03glUTATBf5OKYMfHO
MNr6R3eEaBYTtj//AR6C4IWGyk/dEbw2tsfRy+Bn/z2W7ru88afpqGtbkP8A9gkov+hsjU96mhFc
JQbJvN8XPa+JnRYV5/863zWJcWk2rXdg83ghWGJk9VE/RCCDc2jnf5d45f3FMbpch0BnYjsIthao
78d5uemFWmmUQb+XaZvtO8fYWmYKo4/T2ymKjhbNDHkd5PGlimFUTjanehEG5yQCjlQ35r2qHfK+
2KYe5/gSptnRTMZqHROAtwo4gg7SOVZIeVf0A1YoD26IzdoZAV0BVLK6r6uHoU1OxDZuxqDYJHl7
PaZoFdPgQpgVEy1JrZM/WXl4pSXwVRI7vVcx/MHWDF9RYhCQ66hFbduP1UoPm2qzNB585c6TRVP8
uW2re3CeyJenfRKa1wD60R+C1l1xY1vT7J4jSbUZlrO+RRIGv0GeKLQNIsHD9SSYr5d4SExcLk+Y
WG/DJLlju7loQ0oS0yGFBr1yuiw99d042i+E5DqraUwvUY+olRX29nq0Sndv2vET0PDLxp0vJJH0
ZYQvQf+itfrDYoALO+fc2M2tDABidOXGGDV/4Fy5EmTTrKUn1jjusR9mX8us/x7XBEKqmUziIpVv
wpuDA1OG6JDPZr6vUwUTzpmPnTGcNVe1vhMi5B2IcDUneQcMmaiv2xaZuYQq68/WcFezPRuE1JgD
NpV7E4tqVkybWPqdHC7qxHxgelGvdI2Kub2ri/GtzwnVbPWXmWpuouNCmV7RFYq3aJSOojaB8oyo
JAKSbB3vgceLsc0W3SA2UMPJ/bHrN5PeX5J48RyQKd5L87bBsbkaHfVg4OUzjO9lnl+2en9UGGzZ
yUK/HGc0Fx0Yn0ZQTgeZ740dxBt4UZibV/qIiIFHs47kA1nROkHMxXcMIiB1ySYsWyRJQtc2edJ9
0xd6cwCyZTVNF51EImUMa7tHmJgb91b+5DTNfJWkQ/rUz/kRfs1NgFkOyOLgrRrJ5AGRsE+8xtFB
DCfrYt9F6bMkIQc+8nmaryr7obWI9DAIrMOepN+Ijsg6bZgPVZg8MXEa9gqoQ59E13MAHH+sfYIp
trRTrizOLm51dnSOLE1Ebrk1lSfLa/dKkaqgZHTdjUvUdtLt0c1Zq64bbT8u7HTvRtd9aJyKMgdM
cWghEsDpAZrjetdxrAi1CManaka/nsqv9Oc2yVBkq1QzmnPtGQCGQyDdsTQ3JHsuA7OvduZuiQyF
U7oeKuMmz3PfKK1tps+PnNf2vQDl2MFMnGf5pMXB2oJJxKPh+Hok8oNZkuXXGwxPgl5elsq4iAS+
MjE/xL2w/RqwcYysa02ds5GzTRYdpr18vALksBOC3OfZdY59MWzQ3X+TvXVtBMnyOsF40xVq5s6+
ir3wMKbelyKtD7Gyv5epcUjq+QZ9FiG4osy3aVagxAT/i+Y22ZYOvGc82bdU0ohRA/0qNCmPCuO6
kfMaLDF3npNDqGsH2MrnPC4GcglNmA5Nj+MTlrAm7Wu7AaRMZslqKqr7GJRLHwWkFtmMmlhpvpYI
w6xJPua4viX/h4/vcJvR4EMLVR5h/D04c3MVFN2LmvJqHxkqWlP3P87DdEeLJ/RH7zw63bEMKZTy
5l7XvKvZrF+6jPYBtZ8qg5M+qZd6Sp/Sycl3XcXvgZxn0spNw6xwRntwO1naredye0gL2bhOcdEp
eiUqpa6urRKPttMke8cdDgvFQghzN5Olbab5rlDJq0u7BuBTcCiqSJzrgDe/qKtxbdTuDyGcx9Ee
gTel1qYmiQhxT7WOLKRTJAMxjTaKvTt7r0LRNuSMyPPX6btMRvqa5seDKM3TSFrxhjfskqz7p9or
vsKgBNYCr3tN7s8reYi8GMvBvxteei+4LjQstIN70vvuchY63JPEwVnZpGeM8Yc5tH7UoQYJuwkz
34jbE7rHPZXoOe2HbZNKzAtIdVdTk9NX1yx3HTUh6JYx2DDTPvLqHTqDc6gCDNZUvcliEaYbI9HO
lm4Xa8a435uy2uFQvcX7BjFIC2/ajGaKw/PQuNzJdNNI56w881DO1sXQDpusuZBRt04dN96XnOX0
KbiQ9osy04cgb1FZEZE8KXohBIqDg1vpZbDt4D5VNNmr8gucPsyZzlPfGIcx8/wus45D2+2HvsI3
UvjG/6PuvJbjRrY1/Sr7BTCBTPjLKRQKxWLRSaRE6QYhSiK893j6+bI6Zh+J0pFin4uJmIuOaKMu
uMyVy/zGA+yLdcCVnlKs5agk5c77Npr3sOaOa3oLtuXjWqLuPRdHj5XuFuIZ4Y07OTOfUBKdjhem
Q5TvrT46blqy7Zepe7SjgXHUGO0SkA4nu/sIkGVvgfawaY8xgjzOxXgWznnZDGYqeFBoVfegbcbN
uhC5lG6Rl7HlNcu5t5bke7NexzhQ145+lyyv5bTdUp4dMkRvO914HaIaP+cRW+9CXJO/+dOcvqay
+pbE5p1hD7eG3R2Z0j/q6xzoMP0gxnvPrhL0H18HC99yCjOFwu6t7tZqFzZh/cwW+dCu1skpPk9u
/imbqs/gafZ9np1HfbxjPOkbtUV4iZIbYOofNzE94CN2cubldqQcX5vyrrUQZoy1Yr9q5ovntLfT
KI/1st44mIcA9jegmotjafT+LMYv4zY+J5mnJG2OOQa9W1e9gGy5TrQbt4l2FQa/4P8sALDNTW9D
uixE72fubk7fy/JkEBSSeW8SlsdtTxfXN4cxGBbUq4ybLXOvZlnc4Y73HX5tYMBj3NMeZTUPIR2i
YkKhLcn1m1qZBRUIy8Zm/tBVNsLy9ruxnPwkhrNdDp+Sm6o4y/4pM/O9gbBY02e3DepnYsaf2ZjS
DygvWTvo2AE1m4+ajIMQ1eiExTIDhOq/md5ynaT5EbMdWnXyjEKvgLVZXHk0WWN0280lw0HP/tAt
3YvX4m46mAwOkMn/YLVajwzigLZZVj4twjYf0HIQPn1KF+EbNP/tGmPfejL8WetocxZ+PuA5VZnW
PXzuT3G2QvAeP/ZTEWprT0fB7D50eUOPVilrdIGlVBfkFEJYhXD9OA1yNxJ4c2gEhlW+a5uq9KM+
XIUVOBMkufhmmi3Pn3F48DyWeoQsxPxaJKU/pg9D653m0rtnenGX9SctXVG+d/zl3bIlh7o/JHZ1
10Z1v9dkt+Afn3B+pAHT9ncjR5Fiv++yOdy8p9iRH6HKvmOMQDxwwzR+xBI9HAzriLb+/Za7B2T7
z4tePkziHqPqAJmOaUs/a2jyLy10iXq0diuqJdDN7BkZuAbwhNYup8XrhT+3eIrDD2dvrnV8UujO
rKuPkUch0bSHdDinYo13hftoA0l1zeFLCrxV171xT5eAcSX5w6g5H/PBqHdr+wGZ7IAO5BWmHYgq
gkgmZJmkpEtkn9rSfo+A8mQFcb0C7RkvcheRYzO5LcunWKd9VOGld/Kc8jw6nMiYNm0nJ6rym8a1
y68aRr1BFW/1VRQZHTlk5w3P1pzXH9qB3v+G6JI/FcOKstvg3nuZ7t6gVDJ9m+Y6D8zc00OE+6gd
NjuaMC12felaC3wZCy2RqkgeXKO0r/U2RqaBYF8ePdnkH2qcZwPAKN67bTJ4k9qQfC7Jho9F2qCe
lmkWtnGMgE+Z58rRRyIHCprBFHkp0ivhrPHR6Uz9O5d0vyJPu71oeDYcS2sdwkjPxHvgMbSMHKyV
3WTtTnqVlde65nTvqffIj0nMlt2EWtdDi3rwI4qdCzLPLWdLlszIwvTNdT2Z8dXITOHgwMK+rzak
MaNVuFdxq9GULacCA+K6aW8qesd4JHSYe1vedqV5Ta8s56JT0Y39yRsddEVzjdJr6Tzee203N4MJ
JK2S603tSqSxmK2DMgS+/EHv9PVrU1e4Y4D1PsT2xtRq2epPi0GzK6Mh/UShw/5x+7h8cTN7fGZw
YNEqmZKM+dZgPdK2TN55hr4+9LPX3Iq5s95NJoO1rvaS69X8MGFK0bsTqnDbsLyLamE+aaa5TpC5
IfpYrjYflrYhlG1L8dBNzng7p5tzXjkwPydW6hzLenSvBUKYL7TgqvuxmId7gD39XTGK7IrZI702
C4VaL2ackNQoiAOaikN0DYadbaBJmU/0YIyIBiidnzL0krgJS1VgVzmmdbskxsYU8wbhA0KwPiLK
nPgL4elzRufwtllG42gyOUefAsa9vVVwz4v0vl4+Lwl6XCk9STzb1jspV07Splyn9z0rc4Wv26M7
WNei2o/t9tUqMo2KF5DDvommx0ijW4hHhN3mn+y0OJqI1CW1ZHA9FoT99KjZIKxSvB1AhgYW2gAI
vsZ7U/MCi75jpTvPzPauENDQ/VGY31Cs9A2ZfTG7PFjrzJ/iHJAdonpkbhwMpgUMroEbfevGpo6G
f/cRL79HWWGzRgu8MMc9Fl5+khnc8RhO+a3Uuw9CIMLDQPN52zC+WuOUjLK0Hydzeoo0cdesNhJH
RCJGvmfMSq5id71z03i6akRr7i1NFseygjpLu/5uRZ4MBEzhgwQNMEu8adO5P9QZSTmiIrtR4oPa
DRi3a3LfgAX5yNgLFFlP2x8YmOciuFe9NlX/9EN/6P6f5sqPCt+Gck/4AWnsmqBdEO+yqDUx9EAy
+03TBeVNMibLno928ZEyP73elnG5W2aIVWAG1pNuKw2oOt4eiE94faS29Sgy/G06IAm4d9nVhHoi
U17nslVytWtWtX8stZMStaeYLkeHVu0zcdlxau/VW5y/n42KBgqKEDej2qOu2q3MwrdToXZwdNnM
S2z0J2DG2imO2Our2vX4mDQUdXUclIDyENHsPVS3Z4X3iFGswR16ZVLaRfdIj8lDo2KLUFFmU/Em
jog8OtM4mrqz8ag0pR9a0ZOfx0kyvEeslUlo3ZfQc+zu1GwdTmsb1RhTaPFeKrpRpKKfreKgpSKi
Ftfiu1RRsluH9CqBZOk1eDjml2A6qriqpbEMykuwBaw7H9fcTT5XDXkGg1bvnZnljHaYPn2YjISC
YZ4J33oy061f5+TB9GrxNUK0OChbzzeajEP+cghgGi/CWZ0MKB1O3yJ1WtTq3MhSDwkvdZaA5JxI
WTlfhDpptMuhw9esr2Kbk6hVZ5KrTqdenVORUyRXC3PKWp1hiTrNBMcalGdwxe7Wb99oEl4rJBUe
QFL0H2YlUeFe1CrWtEDQ13JoapVKzmL2FvwqVgO3nSamAZWzNoPRngArliRwYPkQw1iqW6cvQAgy
WQtkI5PbZmLlGUV7aCjajraWqF4/klRfzNIaMVlAeZbiph7EoccTqkMB/XJFo6POd0oXRM4SaY4a
MlZJwpizLu5r9PG/uK2U12VGkAiBP1CvAiwjUygHrZp3DviUF0NvHiaj8KJ9gytoe0gig7yEasEf
UXGl4VXa+CMPzON0gDvB1IKFodo8zpr5qcNJEWkehAnTjbxyY/kiTF9y2CwBc4BHJvCPxZCAwcfL
c48gW3k769UQuBTs3yliPmqgz24MbH+DvjGfJjzr/EmTRqCXE2btQwLxpo2Ld+5sa2eX0XDAQQ+u
Rc/TR0dHxdtmbnpSFOpUZI9umybXWevlxwrcsw9m/RQbYgiqCeb1wV5gcdKWy/cTkIxUwCt1RfrK
FDFHPGdLyIrzMcB69NyRfzBJ5o/PLAw/c6ZnaxTIR8I2OmB4yey4q2XYAsNkzsEQo9/M0E1qRKGr
WYO40FoHmqm0VXQ84JQejkdDkYFuuyP7eGrQoa8lnkWz1lCOuUUSmuM4ubt4zOtz4iDLXeRMNAbc
roNZEyI0Mrs5uA4QUtec+sMk2Wu1S1+TuTsVWIweUrz0n2ckJXHlytPndKs+WwKwSmk1XQhAZgjR
ZIUDthUjyypl4FyiftSJPt0NDa6na7S1vt7QXxwyy+R09EpSi0annL+32tUF60LGBFM/2yVuVH+o
I6Ct3krVGql6oPemR/4/6wqgQMGxC5nzqXft6roeGCLLxmNkxbF7U0fON9H05WMuUfR0FwIKtt7f
qGJeMwNrB2wN/UWkDooysXnb1IDPUa6SFDbJt55RDGKBKK7lbV9CpK8EjKv0ZV3l81x80q3sBhI1
K0KmPtPOe0Th5X7Nq1e7R+JW1OhJuyNj8QLDN+RkHRlQdMS3fSenvZERHIVO4TFVCNzUtdm9n9Da
eoJV1lO9iq8IHRqB1WZPTlccRUfg0gwXX5Gi6cDwieQcO8b16sygZAz218IoGaQ/6QAN6dspshBN
Gp26RXVvqq8SqaFQO8fbc+aqIjM21gOWXpNyWXHaDQLFtH2O0rzcG56Z+IzLNN+0aHph7Nh8yZLV
uAK5rl8ns5ddFQNWIVHtDPdQp6t7YP6A1Yk/10K2znFRGdWkcqtWZVmGyrdwrCLzUjmY1AZE/+ca
oN0lOyPimk+uStk6lbyNvPH/tyDe/1/HWIr5BkXqhyzlFx7X/66+fSm/VP8C6fuv2/Rr/fKl+9dV
X/CP/Y+TrX//0r8HWzCwdQjIBlRHEhkI7P812yK9QefEY7JkOe5/zbaE8b/4N8B7bWDBjg5/4d+z
LQhizIFszwUQJ3X+xH/E6BJv6PUuQgMO8zNDqBTLcvm1n1Qo+h7kJoyELkxmJlaZVb5UDYhFA3wt
ZXeH5OBWvA522kDZzV+AwLOn2TZ+Sz2zpjWTZbci3i+zhZFJ+mGq18n/4SX/JhW8jNd+HL9xiygH
6ci1Mmf0IC//fIsGm1MXedyhHg+4SNtMGcSJqtISD1/29gsuv7d2P+77WOJti6raP1viv1fqeMPU
Ve+IGzANtIj4hJ6l3uEP4GiZiwZsI1CSCx2IHTr56GUoWlkUJAqNP6IMuhu94TQm4K8ywX38+R3w
uX9Ihp3LHaBqoguThFh3L8nyD3fQm6nsihLwXDdihYuq7CNO37eQTs5/vo75c9b9fy9kcxmTZIm5
2M+Pam8RABcs68KqhgE6xIN3cIbmuW5L7wAdicCNlajPXA2MxTx7vsPw5qwt8sFCXvqMwYMWGJoR
fekzxoTdIvV3Ro7YmtoXoWct3dVYoSnXlbADtQZORJ6bTsD4o9l14zQEDoAZpBHkfasxCUsiXuTa
2p/QQrnSu97dm2kLsYROs1JkoLmMgc/NGj2Bt2a1lgjPCNc6mAuNQrQLX4WxkYFOxUulle6+6CII
IN73KSnfAdX8+Oc394ZtzhdiS+hMo2mOgeV31Rf84Qs5W6XT+WuRL0ebEins9VMWQbQHewS/jwMP
Y3hv57ST9xeNA6lW/8+7A5ooExjXMWCFEkZ+vnDZeE7Te24Wun2C68hQZFcOBwTTAoC41Cg9pnAg
eutOWtflyoau+qzxHbfig6JKHxR4T48ujk8WhdIOQirIichxQbvOa1ggJYumrTSZwGmVDP78zqT8
9d5t9F8w7kA6zGZW9vO966NnTquTFKEn0HBsNcu6jhVM2Zi8d8U81kGO00WI6HdJwY+9rIGUeB5T
dYERpNi5+icAmQtg7TOdTdQW+xHgs8ZDOytPYxdG6tM0+frn+/71W5u2hDBtAU3wLPOtrgT5i6Z3
E7dNM1SNqIlK4Afyf150Zzce5MEBaqNZyL/tz9+8MKk0q3X0oNBOe/OxR1lG8+h1RRjhkuZPo+fu
vBRq4J+fjxPp7ZKCaSw86CA8HAHn589SFU1p4CxShMnqVKHTtfkJduTLny/imr+GVciEisUiHWFS
c775+pB3HQcufRHWsniNnAi9d7tntozQfU8HmU3ugf7dRxMM0Ups+am0ilcBWvGh2bLAqsaEc2cF
oa54pOVgafBEY/1Y9CzyPJuBUula6hsVYykb+pZuO7cSPuNVOo8I6iyMWieFxteMGQZqocvAra1Q
X4hvllgkdY2nBZgWA65OLHGGO49A3Aj9FI8LIlGLMvZKO3CHugsCmAtc1SwGr4/hHSh9LPIQWG5M
gKi0/NCEY7xMSyEashcUPF+szHgomy06RfATdwBZXztJEdmPibfTveqogcvzR2TxDkWdvtJ5dDFv
Jua2hlPROIMF6ArWdxX3qHo2xYs9sQbNPH5CFgKzgsIDxwxpBx0R7tt4qFJPO87JJANsrJ5FxW6f
VfReAUp9bBbgiaaG6cayVNLPTS5WeJn5Bb4fYVnCjinm9AUcBci8toV7Zhc4v0rrc9XJzI/HEgmP
muFTlm4cxJutBU6RvYqEh55icCUl3vDgJoZ3SKV8B3Y6+bOB+t6M8cHkErhnCKTwNJDCzeA5+2Wn
PTs6jAwzgn7gJQbmv64R+aPZJxgjblUIm+IFCn21s1o7xduNExj6i4GzZXkm33+fCe+RCqRkG3bD
niEDrl1KbDYaJ2CRBp+m6kFwpJu+K5vxjgQjjJzqhY44MtlohoLMZU5Km6DeAU+mo6MqKDCEB0B0
r5UHDdSGZdEO0/VW5q8F4IJQDUtxIOFB+7m0AG/fMJCWvltBlgDRc5sDjWQwyxmQG9ThcmxhXzSs
81odmUBJsScRXGqd8lcthkdt82VXJ361RK2cS1rrw5QjWo7xWLWTJiU2KkKvYKVZBAnRGk06d68l
9XlxeirAnJO62MoX2PXF3Yh/qG9Pmvu+l8WBXtMLnbf6mKzwq2x4g8xLeUbS07OdIVx6+TBkBrdo
eA9BLjg8Lmt3nVk2qgJF7hybxiZJX9yInNGKjQfDpQ+uQC8uLBtgwOmLGNgal4Xbbdx3VC0HZzEr
vIxslNLdR8w96fG2ev7PFihZYUIYD/3Q9XtrIvk0zWa7qRY+1piqbEOZF9Vlg7NmwgoyBJ+/x9h0
1+BPtpNySs6zrmmBmKPUb1wWbT2kL5cb53bJYsZqOwDrX0PP47mlNfYfRw+k+DgA4WBszlZzGP/V
ntcG0FslWFgvZ97iXAkbpg7uHApOz/gxW6YzKr4xaKIoOyxDVO1KApjWq4DlICS+8RwsXSSA1AdG
rvsB2sNz3bCv7CV7belvqaL85RIuRid/HbBO2rmYF+OUFHMBRpCYnnOCNPaawc8Y+t048xIpBsiH
GIfizug5u8kSR2R30MfFLnAP8t/FZAzDd3trni1Zny+nk6ezikEjewdLmCC17OwVzxY6kHg/ofyS
AyVBaazDiwC9Z4ldsfcNXW00mRXNpyLp2vV9+nShKJkavzsRaxF74IUsVtg5xctAfqXC2YqECG57
9u0lKI0W4QX4xnO2cG/paN/K2t6OgFAfqHeqMBVsFXq8LxCd8KgyuoxBJB/3Uk1cKEh2amiBOnbs
2rm9POG85q9qS7Sp9aCOAnQvHoaGAHP5Bo30blMkI3d6BcQ2n88umuCKac+yQSZ5F0l03WrRPeuZ
Kc5Wl73mDVS2bmOpdDqL8RLpXAQQfCtxH+vVIqLam4asEzQuGO1DsGjs34ydSdNn4/9yaQRinxCd
BvV1Fo2Vh2fZeYuhclm0olEA25bTJRIDQCURs4E+zKnLmQFZHpFf99EpGqVOEKMc323ucugX/iu8
w4VVP8K1qEfIvTmQvtrDTNq1Go6fnojAGubn1bli5NxUr5Ln3LYeaC4Ha5KvoQFZcAeOZPLVCls2
/iSaZA8IAjWHaeNTzTWLrvMIPEXDsionoo878WkMsAiXr9tn3TPCGbA5E6I+VVAVtrEih01UBZf4
W6joGLVJFYKPpGfj1ajGZP0QqDOOPrhB65pVbY1sIGfLzygQoJzXEm6yRuT7SzqM9Q1jzhmYCEyN
9UlPWjSAsJ/CEIrkSl9ypJ5ZK9VQvkCJfkVT+5HZ3sqBwZRymnjV6rSJPOJiPrAFom7IQebY+d6m
A4MiJjhzc4D8YkEXQ6ugag/QywEe2V3KTIu3aiH3Q/fGOaC9lGCtUHPgrUN7S5Rsr1MzGa7MGWJc
j2vjbjGSZT9ikXjIx9mlQUVXNgPPsav7eZ13ES5/xw5fgBd8ekdMXIWZHiaB29QA6Q43qYRUY0lf
67Z+huM0wO1pmb16+fbeKDIs2CtYGXEzvM+qNg6pc9K9jISAsiFSRXGtyIiNdA8xH08BY9OPWAUc
rI0yCT1UlRo0NK+QEHPuxYiF0LxBdjRn2PL52tZXsPBSP0/Ik9utuzVEYh4cc0He24tf8JUAtOFI
2rsQVJGp3fpDPuvb9QYZY9dUBHtV5tVOAxhCoG/G8d4fmOsnR08r29vUom+7VJA75roYAsssdb8f
u3q3FLFJjtJOFGg5Jy9kJ7Tiuu/ZRsI2TFYD+q4qjnrUDIF0zKvBa58Bojs7D7vSHZ3g+WYylDyB
a+BfBiyMwTdWjxgz8mMDP2aKkd/eqnGXCjEeutE6IWfwOS7i+Xs+dADwWzfazwvUDAqor7AJgixe
v474CTJJSghamt5DpJxyRvcDak4SxFCWM6HDeBauATgsqEUSuzuZGkeMgTBy6/FHmmJzT/J8r825
D5eUNBFDKfjQaeDGfNM4udHm7jpF9oxFOD/BAz5hJOniDF2CtvJgbtgsPrgNeSCV6Ec+al+sgaib
tQKlhM18iHNMArJOP3eake+rmG2gZ8BEu1RoR1rpSFYsJbtWVT5b3mQ7fSMspWP6KpbaOyT4NiGb
RaRh5LA+GdBa1Rfe/LngBDIrO3qdM632pXCLD1U7mtfmhpOzJFRoose9kxZHmbfd13jzTMIbYnWb
7QxhXpMEJ0u7HeacjEmnhoPKrDGousRxKAJnQ+eciwkOCAoPgTbVTMkbCKeXit5iNr53DLapCyWF
Q0Y8GIvbAWVNMW7BYYSWMkuUgjk05/nFm0Y3zKvpAT8pLYCSAL6vmgiaHAXqPidXfxB0H0KoHpSF
nNZg2bKXUSQvuVU/64ix+9B+HvqN3vigO6zQpF+g1MJCTIEk7/GpuK+K+dys4jMFZHvQJ6u77nXZ
PY0a+CTONFC/Ycsk+YSTlbFDwzm/wQ5AC1yyKtgiA9m1Cqcb8vyoznPiTXBoDrPlPgK2e2nW8kyC
sdxvzoJZSmvcNB15jSa8M2YpNnWji7upnKGQLOV7T8I9lDiKDVhjdLu0s28RiU/u9U40ny5KORVp
ciBy56owWWFNwWoYNbcmweKdlsXMezaBKtZG1V3HWjo/lvDWdkPHcpOqeZXGqz/neeKvLnEtQnsl
yNtkwUTFkODIPBWkS6qVaWrIvfth42HJMeU2NSFa7wiiAGMpYgHIAmVk4WWvFayYmNO+6ziH+sq6
jQ3WyOVEHxaKMJXutGqtxiyTW/RlqPLICSiuIfHjARYgWOMiG8KZWeFKDp2ZqmVbaBChipDvoQU9
1yVHz8Q09S5mcolti87HroYqRJw0Oq10JneeXiw4Hg75u3acUr/URaDF+uQvDsTpgoo+uJxy3VBX
53QySKNMNThxPXGOGy5TAGiFpmtsnyHSJ9+6FDkAuhYTHRAUZj0MR/1RYzUxVom+FHPPr3Tlqw7z
7aWMpupccOpdVj/1JnhqJpUUq680IXiqwn7nLmkIQPyhijkmmQTo+6zRvqtGlWVu7RGJg+nGavki
a67OwJj1OdYSpwJyKIJC3Dx0HsRSc1BITgEZX+rJ7coMHsNcIw9KR9p+bg0nDdUXIm5zvcptC0w8
FXZr4ZKvmiRYqSbvim5CdNd0cB9MZrH3ErpSrHaOuJFPNFXmw+XsvdDiE9hnfy78rd+1F2zXRvVX
OrauX5xSfmiVTdnkTCDG8hBkIoW4QcPWGobnFhUxdDFLzNg0AT1fkd+HrdgOwJRHQk0DTO2j2zaP
upsCrsJz8KDSjNEBLG47ziPTmXtdLptvlI52lOBuQO3BaWvm6d4uNQSi3IEEeIifLo3MS43kCPkt
Hcrk1Qbpjkyq/SDyDak/bRBnaa/LyW6W8rxouLVbE+vPdqiBBtDI1EtYd+NDSO6ltPsuRdgoDPcd
fh4ZFrrXFXxe34xVFphguQo6E8vn2I2uciGW/7xFzkQAeW7p0AqEqmL83LHJijQpQabnYdRTcrjO
HJ36kY6ELUm6ytz6kKpWKs/H+T+y3cRM0vjnz/qbppgLR4aJtDCYpbzt5RkQD6xU5mOYOXANerkl
xx5uHmg8+Lu5lnUIaeN1NRWp8Zd2ldLEe9uvonzHWwABFROJujeNJHa2GNPcG0O3XXDZJKjv0SIT
79IZXRFza5rPo55FQaRvTGWt7L6eyum918hwNRbx/OfXoDpwb9qxfAH0d5EIcFjeb/rAoxz1JoGa
HpoqCKiGgalUFdB2HYLOMnEJJrr++ZK/9uwxYZeWYzKe0AWJ988f36gGjMNoSuFiYwCnYxgctDF/
J4r6cek77CQTbd5XM3NRQEDl8c9X/81uZk7ADXguX59R1s9XL3mp6EZoQ9i6JGM5DR2/oqD4ywr/
zWulyywt2wIL9OuYitNUYvIHxmUTqemP20D5lS2fAZveQtb8tA5F+pcrit89mAEZzaW/jSim8+bB
2gqF7wXh2jBOs/46GmiYp4PZXRESaOXM7mPC8QlOhu6ZtOOXcinWcFpwslxiHCGLKf22/YfCzgwZ
EBkQBqKpLHaawG8WF2L6XerpDXsszz7XjbV+/yf5zTNyvGJpb//8aS/izT8vZstiGSPSLhGqpTD/
+duOEotrMDh96KbObSelt680qwrqCJKCTta8E5P9xSyyp0bHy1V3nroUhsOUzjdoMn4b3BnSu4WQ
yZ9vS01l3+wxy0KowWKps7VRt/z5trCfbtYYHy8gE4hYOAXJs90Saka94sjEVHys23NCk+wj1jtY
vwMm56RD5S/V6mfRLTSmyON2RSPlLq2rlSTDuJ0FcndDln21+6M16Mt+M0lBmL7D4n2Q5DgAEJtd
GY8ZepVxkDh0apwNUOJQMVtSU8ccbUOoSwUsqHLI/N5QtbWO3EQRAW/WI63k1dDKUmO7y8GWbXp3
9ed3I399N2qSbMEOtNGZwm/s53fjQetFlV5vwhj5eziAbew7AwjzAhU9CCwtvrKJkdI6KOEkTZN+
eUxaq75ZtDUJoUOrNuKk27IuPzX6qAWWzpRoUnnzpnxu+zJGmQaJTFgVdELj8q/x7Be+JfETUStp
m8pnUwez8/Mz0MsgznckmySl/Q7sr7anpzYjR9A9j9Kqd2gUnBEV7uB/QJrXivTQzVCS//wq1Wb6
efE7mNOwvFD603Fdf/Mmy2wzmgk7kRAv1ZOceTGSlZDCH//LheSvkYbRoXA9GK5QaZ23kYYpSNTK
IsfZt6IrmJH3iDXfDq0zVK/F1tPhcOhKIUBCVbSMCiDbcTOjt/pROcX7uUleEFR/SWfmTU5JvZdT
AvJ+8wDzLVonFO/0t8+dwWzeKGjDYSyu/WWW97uPxgCPAaiFqY/1y+S4onKVYkuaMOkxeZQFHmJd
Bb207Mk6F4xLAmMev6l6ac1pP41t8rqW7l8iFqzjt98MWATzRAVg+vWYKOTYO40QTagjd2N4K5Ap
aXOxopP+vP7tavLXCZaDTq8DzRgABZz1tycvjmIuwksoiZBQHfKmXvdqLLn1mLd6IrZo4JJQb+B/
oLObiI5u9XO91DlGkCT3ph6/NK5Ybwo8Fo4ThfcuB0m/M0sqey3qp5vMmP9iFvTrOcodW2pQDPRf
wUh+3lqdtTiw6dlajrZC6OgbRKoRoQ1G0O47Wtn6ftKLvwwtf5PwczVWBCr5ABSttzupIHWY61bW
yF3Q2MQN0qQQX+QZbYDlmKCUgPsGmGiRj1c97alrz6BRqXqG9NshgspahzlJCyFiULQfcjCbLABx
orUiDsi3BY1BiZnYlN2o4DzLjXzr0hOpBIWTZPx8GBwVzZBqQHCY8YspoZHkVFR+WRsJ0muOGca4
YPlpZDwVrYQRqjHUawTAyo2hwyFxVDIfzV6IEkkFMUs+LDN9kstsAx0hfcfM7auqhJHG43KLzoQi
+mxoy+I3yKMeIF9W/5OwARMXAI8t0WMy32YDLvYCHfplYbwOyX1eMsYUlC8HaZnYqtLH5AykyAXP
CnUvpptt8aGrGQO/eZRFUNndfHKUxNcl1pdyZjS6ppi/mH2DJ+kgP11Gm2YjUOhhWnsqGXffJgif
/SWBV4vu50iL7iDZBWgmqUs0Pt8sythkBNs5fVg5HMbjMlf7EpTdcTKT6TruvNL33K38ZCJyuTeg
8/7lzFQWZG+vL03HQoORhF2ItxAKT4FdZ4xLQ71gilbDGroXOf1+t6ATbrSe+aFqrBIHjSS/GgV7
JDc5IReNPnaq/g5FgHY/6vClwS+zRHCa91vl8mqv5mddjKd8rZ814JH+Zf5Aa0No9PmiJQsSjMme
rUZNAyya7BlNyVAvVY9vUe3crUkfunY2P+iodzS6d+4mlGcsiLiHVWFe8MV85S+GHoWmfzf7rAgr
F4BN7jBu/PNx+JvMAsMC5K3xjTA5lVGc/AnhMjGrq7I5qcOWIcVlQFCiILs3ANj6Tco23AbUOuJ8
u1r0XIcxRMYQwVoDIXV1GcNs+ghwqvMMn9P6oVDxrbUf0cROmYs3nyom+vt4ZRbh6OUa/vnuf417
oOLJKNj3OmXq2xppHDRArTReQs010TRgvqhCRb5SFV+6UUVU/iXq/ZI841tHHDAoyoA5cLCrW/qh
zZGIPlo7uOkhre0G8v3g7FI1ub/MYvrL5x0ZCk3EF5AcgEZGNQachtbdGfUyBl0LZ8QCzKL0yv8W
PN4elJebw3XBYL8p1JD67z/cnL2ihanlVR6mSYutfcc9rKQRo5qyIiP0N/zaby6ntjhIJQP1JPnL
sZM3Vs8gMkc3Q61aOGiobhKRetYOtePfKmL3bRaMkIgSqgfRCZANZ4k3azXpJqaNXYqzbZJYZw/R
d2Jh5+wXEx1CsMGQbnMykrSKOTNIQ48pLtBHIbTq1qxN5+Nswi/McPqzjfEO/d0laG0sLc15aoOZ
Pbqnu9JfoyFWYSW42pgEVUiVGZkHWgV/2XQbqkOf8uPp1GFaq2kPoOSzq2ysBNyavt1r4Mv3OJU1
R2oYEMQaklh7M7YwszCS6WqJ5gMdyTboYpS8ShkbJ7AcGhOV/K6HN+9TthmhIw3eoejSM96pGTL2
eQxzH2bJhtXwvqhcZCUR7dyDZn4RCm0n5nZ8WEnUDmURZXsnoVJDoxOpSjI6OoIdbXXIIAx+89I4
AVC1wIHlHrTRsq0OVWOmpzHrphmkRZXTJYuM0HBaF31v7kFrIqSZtffNYN7FSSr3MC77a9fWkALX
NvF5RBg2HHBk+ctGM94m6kofRoDEwsHCAoanhHV/XMte3HaeVnDKg6Bwj5e6xyhAjVS9zmSbXAoj
Yf2uadsKA6TZ9A0ER+B0qA8IO37vdngqg+whr3c6HGfTIvlayMzAgKwFyu7NiEqxgJDkdLM9ejNg
f6quOjBEMH3VlTi4xqY9rvVsnj3181k93A2JfIRxYvrzYoMksUYjGLuyOsqsd//ScHp7eAH7Y0Ox
g8ljCDT6m6VO5BQWxAj3kHRb2CUorTKJ/c+C5+USDghDBHVsBHDevOD/w96Z7NaNdNn6VQp3TiPY
BwdVg3N4WvWtZU8IWZbYk8G+efr6aGdmSbLLuj8uUMAFapLITFviaciIHXuv9S1OYTaNgFAiGEiU
X5Jive7rxT+mZsQgLfklEMs+OhW9Lwq4KGsnlBE67Muy8W6FCjXpJE5Uuxi0wA4w/KrX4HMrxm6g
eaXJSE8z7eZQ1gKkRZs2H7S19Pe1vbtEaaDzo4Cnn0rH5e1dNVV5Bt6gdLedozTm8knDt23OfgKa
lFLQ9g7Ka+WO1e6WtkO6yyynv/vz5/5DAfe6MPrxGmiRG5xlEP0uAvHXdzaPTe0aNWCdxEnJCZyq
Zp9bZs1BHFPUqu5jj+Ak0TyOkDLP+SCtc7BwgV+0hrzRUvzhUe8S0jxAW+zyWT6IxuCjrBqqu0ht
8zSqrwfC3w927fJ22ggPQmU5p64aKgh/qBJIw9Tj3eC1l8DO1SrqteyD4ss2eA9v3iMFLKwmaEYm
jWv25rfvcSIDyKrYQrcdT9XpYBJwJFSor72+7I8/3oTXRQBLoa2dNhF/wOAxWHsz0ONMRzsyU4L5
Jr2ItRkF4d4LI0nAdgL/HD3XgeCJF4UWY6/1DhIyOIt+HJpXqZGbG1XH/RELZbPPKhK9LXuWOPZd
gs/tZqPZBAtBH6g2mdPOKHzKZcZeaNtcESNaB/YqVBGworpqzkd+cqucHolFFF5Pmq2tnWDILqdZ
3c91Agcn6o720PFiLWK2wirqz4zYxfVWLlDxf7halz8/t7e+yd98nDTh0VS6tIJxML/9OBV2+Xjm
3LQN05reSaeBnCVePQ6HG5Jbg7XZWaRuthBpYmcK1gYdr3ViK7lPJTwkLaZ7lTJfJnyJxyzBmHVC
3LV4rKbEZbzszSf8FrhLPSb6UbOKPY2kxeMLqz4V/dOcKO+EU55YC5DODFQaa1sZFVi92qjXmlPe
dxlUuH7UbnMa0jhQ648qm/eBgZI1gzM3TyzRbzzAP3I3X5U2SdxODu0Ue6v3bN4Sj8JXYxwYgvHC
A3ZQaWw6bNa7diCaxdRyDSFOFWFlbuV+smLlJ1HQYSYu8ReGi7wj5rFLZ9AwQCISbWsMihvTCTW/
Rhzni5p7hBDcZA2hNVkDWNY3EznC4xRhXTasm6E3Hywsq6vJc2+CKP7OWadbKeZTJ5j83H2IaOMs
LGJ5CYKJrJNMVhvIIRzHi0j5OaDwnUNvYGcx8tsuhG/k0VySKBzzgx7OL1XacpbUyS74ESP0S1E4
jXHEjJJ7p8/sF9wG8nJ5VuoOkxfwgv6DNq77y85l8RWZKNTo5IJqfC9mzjt6VaIDcNshp/JJ9PQe
EJZFJwrj2FrM+bg1RZCcR04bnRiyZsGrKb/0gQ997CsqeAnAkGniZ+gzp0PonAWz3Wx1VD6jQ9xf
UvrVxHPdJ0he+btrRU3oax73ZZ2wfRgDTzNl+0vZACMySsR8Ookpz3pZQnEyeQYUh8LTpBHOJg3N
cBshib8b+qy+ZuAf+LoR9VcqBrNsGeg0UguEj+nM1QaqYX+GmMs7MJG9avHH7L10YuWYve4sdwr3
tMZdcTYIluVGpem2WV4OE9NsKcT7O3vi3mp6thktIjlvbRsuUCT4mI9VqyU4wEsgjnUhvuL4A2bY
64yzo6jUtt7CzmmIeNtWfJAgb3RnE9ELogLlgZg/qAp+c7d4nHCgnqJHX3bJtytN4zhZmoeoYmWN
KCex+fxqZbM5lcDvXZsH4s9L26/XY6qIIp0Si4O6/f6U7qQFyuC5tLdZnlOAKJ4GZHMkPCWx3Ecz
5Ok/X0//tbDk2Gbz3nQOvAzzFsbh6+1XIm+rjDC0tuiYzE08oQzVdemcxjmDqGIW0cnoWQtbxSGQ
uav3oAD5HtPK3JQE/6zhBjEKGNxgPXJyXnsdG5Xo+arJfqwRJejtwsTUUWCW9XXesFzbxbK520HN
zhNnlwQSPEI2hctd2AGKa246R88e0S9WG6i8LO8gaP2Q3uQt9uPmMDvyDJxLumXK8FKVxCvOg/2S
utmjEfHaNdGO20kG8wl9LWOjdyONlbK+bWbudV1j5f+xtaqUUquWYfSAoszcePDfr3REvmhEeJo8
j10y4haEkZWJk6G12l3pLLtpniIGV9QlZDCx1eYdqLflWZ0M1o8676Zvxcz6lvbc5zMoqB85BXtU
8ew9Kctuk6rqPo5TbcvnZgJn4gUp14UxBwictJSIKcBUjX/9acb9Hk+dtq1djdN8iTLE74yhWgN1
B4W67LpJZDQHK05dHhaWixiQzmFsx5kPcWwOUYspXa8Y4HeQ+A9eG8p94/KEFhF/RYRUEEXggVgr
EX+j+W53ddjU57GOiqiAi8S+wNuEUJKc9zAofNVjRO2mcomUDryDkcd8dpktd9ns3DmT+5Sj112n
mWUceDr7Uzw15oYVjLvYnuSurzJKlngh2C6Pu+fw8aE05Qoau4DyqHQw3zJE98yWQztfx4+7/X8M
X7pc6KlkFBIvVLafYS7hc7mYKN/8x4bUmXa66p7r6fq5AWf1dxzd8jf/b//w355//JbbST3/+/95
/A7hzY9RhsdP7Wsj5jIZpOnyT/n0i6Hz5LEuuGr6+Juf+mnedOUnTr6sbiTIGiZh3ZRTP82brvUJ
K6fN0QT+0QItZXf7C0yqy0+WrXuCpYoXQL+dP/oLTKrrn2yXdg1uF93iX9C+/P3+/yru/hTH9+6I
BCJD4oK2l1Efv4na+e365DS2ptzWQ23Z2HuCKy6I+XzRJamdjMe1oL3qy/SlQvz6wcpPScVvflW0
U69LnXG7zrLPhJgD6NsrhxHRWQ5W9Y0TePVzQG+X7oFlkelr93p4MMRMiz92mVKu3Fibr8dGAaJi
bZp5gBr1QgkyjWvgauDIipT8DMzy5UnCVlOuCNBbwlJCEDYr0UzykskkY0AgBtHWtANjjS643M1O
7x61sHW2IfS6GdkYcOdsCgWbf30xsC/5HDmeEnI7fMLVtoln6uuWDRUTXnE9QUlctaHYOJohIAqP
NL1HiIPoQRySGsbePNdxuV4icksBQWi1S1s6Gc6BRtyGnuR6wTQ2u9F08qvJxqemklNSJ5qzVPFR
jN4MtCUYiTmEbx7zw8OEtDEvq/7JdDTrrnWbsaEU1cOL2PXqU7vIkarHU7AynBg6gzIml9LcTgBO
JOF9POjetWP3IxnYLAZhVu70waCTU4JzCco2emgFBQqFu6Vtpzk1S0pETV4MWtO+BKOxzABLr6Y7
k7Te91YNKNgngA0reuvijsNjw78a3GOLYyG6bsifIljdwpq/zgC916hAp2FHzgl1mCmGE5SPBetX
RiWq2c75GOfWheDUEW2MlIgwoBRQvqxGnMbN2K07NRaXI2Z68rlYO8iGYbB5dNy8wLyhgmJXWt14
2iey3UZaAKS1TrwtVfx8UjCouqsK6XYYNBotRDRql/fGuGi5Wk1qKzcdFOEZsvfKy9AwUbxHVkqS
MGeMFpVxUYFqazimc3LrrD0HbSbyZQQYM88MkdaEzWBLWhuT3hIHn0HJ4e8NoFyHQn+2NdcWG6Kd
i01vt95l5AwwvUSvMdbraofDoa61h67pLWcloT8BNyMFEbKiANNoIf+mU4Kq8N6eenfezAnGWd/p
i2AVINvHCVI3CYgZV02HIG/YwcLSVmddBwygKgxupLQSD6Eoo+egddUTn0x83aSFd0EDrSBzYcoQ
g8dWFz1YwHGiFarfcGskC+6DGQeKN6PjKkQa63szSD3G/plrfR2U1RydOSFdKEAZH9CRTqLCj0x9
AnwyGtukyaYbo5zN64LgmsoHRttSm0NJXwIH+/Gpyl0Hjlk4wCQJdO9rI8voM+kKmdxYsi7PyDBJ
dV96oXPftzrSCnio44ZyenzMy7a5Q3iGIN8oaucRjFKFgMYFKa7rtWOvnQyx87rSK/1Za2L9JmpV
ft/bSXDlEDX3UHTEb6wiIiY0indT3IZBAmDK0vtUbbrCzm9KtGabZupAO4RM9zB90Dgh2sfsSGji
cEOj2akzTfc55iNdAEsybyLB2UrHpMHeGs46DXgp9pM7w5GNlgZJTc8XRXEospOZuA99BaKfVSR1
ycTjlDhoF5MCebfWU5neJ5PmER4oSvBPFPrlkxAU6r4Dw3wPuk2hmNGgYrISGi5WaOIHVk6Xlzzx
iUwutTyLLo3WXfA4uNDTNQeh4Som4+eerxTGLONkZ+VI5WwC7As3IYkKvqWsYWND0bta2iGbWVGY
rxQokwezYU1nMRMwb2iwfGUx5xulZ63BwHD1wl5bMtcYVaHGBGxM7osCu5GP84qHvIU8P/JKIaAc
u9CZ8D7KZImu7AuWhT4ghMenP9WfD60z3GfYUYD1IwVintLDdtsL+rVfsKaCVQ4721YbQXPd8gcg
Z2eJZ3SXmi3VnQRKma8Bc7mSOMzCehjyWX3HZVJnfh6RJYRC29MqxNF1OK9VRpm/CsmSDA96oBnu
yjXN9Bw2voguS5IGo80ikzyWvRNGuyYzW+84aR2s4anTebpA8aC2tqpEexwCyKLrKQzqZlMYRbBt
ikaBk2lca2uhSMWng4ujJFmm0CzCa5K696syHfGNlFqerstBeD6QwQloJKBt/opu20ABa9md1o3K
+RH40V7SK7qGEshpVNdfQRvqSGdq954uen5EhZiCfhIsxAJq/96JJnbQtOimz7nUWfRCGQ/n9DZl
sckh7N1BIXdq5BMRGeEoZNzvZeE4N2NqoCliQJyvBiVSwgk7t36Zuj66qh1TMdQukhYBjzecy3zQ
8X8rZCBhmX8uyIo4hqksYxA6CxSIFPt05RQ0eYxCrDWX/j3eAnPD0FV7xMZ33g3RgkkRNoFrlF/f
wsDOzq2gA6baDUEZrVNzGfsZCpHIPoBoR/ZZJ4NH/FUIdTqk2dNp6UyZvpJOH30W5kieXC6zxQM2
jrJbK533hlVjejBn07ll+VWX5Po4u1BgqS/Zn08dIxzJE8qM7EuOiQMsTDO7DjhgkF4c9l3SoIxO
rxDmIqLhMcSr/XXo7PbScrX+PBgD41K4jf1M3oO2lnTL7qC2m0+eo8EHboUTY8rJdoYFwQ5YUxug
Y8na+vsc9+gF7KpxkYJ72gLCajCgxVbV3UCT6w6dMNIMiEvvfrG7KHqZ0yCP1npU9REC7VTywSUR
QymkD6NhHVC399UafLB8mHTlPLK7xFcOroSRZUvlkAmNrp4zbIyKpNlV1aTuhQjY8tdWP1vjAdsp
0yLNrC0C+aDXjWbW8BBgxRgbjZw4wwvOYTh8Bk4c+UVN4kOU6CX94maKthQGUGyYirr9CcHEzo0z
m9EArRU40DoPaEzQ3NToPvFJ6DlzzE2ntKWFZsinymjNkwK5BTnnrh7WpLyBva6YAJzSW/xSOUF1
l46m9U2mhpftcfvBQ/OMJiaIiJzaaGWR5PHCXAjWFXjpvttYsS2vQZyHhMD1JmEQMg2DBotJl/B0
mh2Mr4HGMDdNn5O8K0DDRSuJvrkEOm5Zn4e24o7K9aKgEMosNn2iYfd1JpoCOJhku2SD11/qNMDb
radZ+BDXOEiIcLLGCyeOG8MXU95vongKYZfSNzFP0zGfjsQ2ad+CuO5A3dmcJFdpLcWawVz71ax6
EtKyLtaA1zollL9mSh7pM7IKeEZOwIyOjP2mkIr827BX1CaQ/OgfYapiM9bQaR9I+TLJ9gsD+lhp
kkzh2QSp5VoUGf3kbHCQT8ZzVtXEIRfgjx3D/Z4H9FFHDp7SSzO/rhgbm63ubG2GiJ+HEQmRrSHn
WGGcBOWeQ47txVSvjWCU2B0KMpZXra49TXqovgh7TXRisR4sDZsR53pM2jLfWrE2YfGNMWPOiosp
sEZdIkOWBzvycxPwCxFofh6PxT70Fsb0lEjrCi+DthnyQm6Nps42rhdYbLl9cDkFNpI9F84/naL8
ieBR/TN3ovkyxE0CCjtGjlhDAr10u7o+JawAQteUZO71rMN32IjWi260Sc/PjG7g8+OhuB+tgeUq
wwFX7GSTTJ8DSza3DZhzlEKzPU5+54SQavRJdS8e1eATSpLCAclFOvu6NAMMXzmnmxdTNj0dFy2K
bi01QQAuG8M6GxpzWtFuwekVGtyFdDSGIvL1bhpeYubWvpqr/GaYWVRwxgWq87V8clExFGFEUdmi
bdp3UGnIyUvH6WhxI1L0ZjnpVxM7LRRT1F+2NZkR21hRZec51XxOMzzpBbOYrN6EuhPfqLTSrstp
ob66JmTV3J3lWlS1uxkM2pmll5iE4FTdILBOOdoxzYKe/X6Kc8BxkePdEhUxg/QIJipBNsoMen3d
Z5Zf6lVGCs3sRFiaSSWElGtNfLSuVd7pbZ5vFbZIZ9OlSpyM8xj1m7ZZom1Cu8k+EyXlNUiBuug5
dcM6WlVuQFUEYoUSUUcC267CwSjvRWdmt0Mj5HcjD8s9c6ZRHbqYZ7TgZFyuQjy/tLLKUGw5xtoX
uHsnfYU5P/NWRih04tt7ykOv8KaaT1lK0++HwGJxsHRsOlZZVle1HJJ+3aKAsVd1PFNgM+8I141V
i0uC3SudEX3d9tuptsStW9TmatCy52LORneVjhJcda27Ae3RXEvCvQ0mDKD2YJ+XpLINC9jck0Sg
S3HEq8kNF/DkH8Cv1ZdEWijy8VIL5qplc8wj04LYSmRah0GGtmKen3zHLCKwgLqEZXNKtq+cpCBP
DujAgBczJ7P7fIzSO7LNAVZz+NqU5rArGisjIU9rfUMHqzYYzkXDA3ARa1BlJqeF3LKozcB1e35d
9k20mtwW+d40c7CYY2b9HbjhsR/ENjXreFdUenE1WG1+Cful9FudqpGAo6kOuMxkZaclA76NNnEW
IfuJ4mJMnAvTo49elNm+Y2PDNgTcv0mHSwRj4l4UOR5Ri7w+P6+bz0XQd+s2NpzrnsTbDWF009Yu
iAeItHEgX65z9oj8vAN4DxKogHciRbY1b4FoVPEJcjUgbHUs542oF9qiLL3j3NdM0cvAC9Yzi/cz
6MRdRXvzRWFsvgz7vkW4XHhfSjRURzcyzAejcsLvkg0UqbPicJaV/BWrE9VKES1tb/iNqXY5OxB8
oMFAyGdLbtRtXrdib8DNV6vBm/TbJeH0BK12t+o9Te1dJ+rvUEynX4NOEMNtiEl76Tu3aL6aKccg
CgAiErZFIAWDd1IoJCupMfptbIVEx5Fd9F1DU3466RGVZR95bGDJqIOO1tWUDtusp5pME+ldeboF
jFKXVbfFN99zxhHKRA8UE/bCMZNKAUUve6Yi7sBemQpOyUoO5gDP0SThRP1Ydlpe2hdmqXPvj10c
CGgeGjdFL4zZ3ts5xwSUJ2YxrplkWimd1c7sVmahO19bd9CfFeYdvLQGkwpfNtI7eGiVPLyzQxPC
UIkoonEwOc8SZx8SCeaCDQj98wlkh7sWIqIwhfvrPIF2apG2hlV8RVsAhFRnmtdWK8hVC6VgSQyk
M/hIzPEgKtUwpohzd7KJfA04nCdZ0UPX6A1x2tVK7TMk6tGqlRHJUaU2tk8tpvn2pzbsf6z1+brz
+R//HyU3GQ7Utz/1Ry+7791T9FzX0+sG6V8/9rNBKslnog2K7ETQl2bgjDbkrwap/cleZG+2jWQE
NfbyJ383SGHYWXiG8NUg8IcuTPvw7wap+LR0WZlAQrNCkgns7f+lQcojjShGoKNg1oi8/m2b0lbe
JDrVMfqQ9peAXlQjB5ynYeeus6FHX1l14zb03FNVmE+vPqnfDOLfTavokL699NJBfTWFNhLdTVFp
MMq10o5WQ5OuomQGshl8GypdftCRfS/OZMfEc4b0ibE3yEDDeCfRSYKegZBVTNs+SS1C6cF2eSQ0
+qM00u3UqAcGGsmObxo9Q9axULs9mS5K2H4PPRxhAyzqObxP8vRyat0zOxlRCmQ2fungc1UtJO6q
jTHLJCe6WTQfTdp+8/JxWsBXZ3aPOJ1x27tPq6YF5vQ0byitsb6atFJXZasB8+2tCb/NTHqqwqtL
b3O89LokvkGBc2GMUHR++NVFVz2ks4PHVYovyBJOI9PaGWX6LXTpm0R5fGgrmj8/NNs/rM2FhNUa
Dgg+yqio1ki9ILob4lYrBGfwIKsJBIH7CfDTJaimJGAYDnBvR9eWnezDafjWpDaQkWjTU7iNIKrW
YZxeuVF6rWigWdV3Sg4iscbV1zEe5507OZPfYkw9K8FiJOwA6cGTXXcwCCvYNZz+YRzxZsbCvLdq
3dwZNF5vnVRcFbhbwDFxZU4c5EOE4/SY5NjRKf/GHZnCsGwSAjutCvY4xALCQCzckBdTjb3XyoZq
L9w03NoUaZC/A+9oaUNwKmU6rywvaS6HPrD2c94QPdOU8it6UZdxY1xeSBJNVx0Jlt2KLsPXMQ1A
nA+R8U3ZDMkV2Jxjr58MRjRADKaxuxILECIx03JrO8Z8LDouwZmc4yqiR61w1fc4Tr7HYekcqKs8
YAzVsEW/cQXAqaarFh0D0kVjGR0ry7sLe8cgmLJa281U73V2pLVKgng/5AgXs7ypznRmmLhhbimI
PsIgvgfTge8TSEcQ13NLIq4z7Lf3owc5u1Lk3my6LCtCPwbrgpG4Ij5qXUg49ejxzNs4NsZTwju1
r1Fg6xQbEshFEFflKeLMuxHn9twHxcnQdfJ5LOR0Y6Yi25EA2awdrxHXkVmmn5uq687cMRAvP9af
/93UPhj6mYKv7NVS/cvQ7yZmmvwmivCvH/lrQ5OfPMyOKO5Qk1oOmse/NzQpPxH952BbRyTz4///
HUQoP+kkJy9WUZavZRv8Zzsz3E9w4QwhTdei779sgv/Cdqa/Hfg5Hhsqr4r5oUToKRkyvr0tAzMS
xVAYxt7qI+0415BHwjI+swJDHd1xcAFqzcq3SJfeDCoc7+KFlggaw1tVsLgJJMJ9mBu9fEqiRif9
XbnXBT20Q0mX9yx3x+iDbWnZdf5rTPjr632//2qcWGI56QiEM+DyFpEVyhBwGQtEEEqolUHW9ZmX
i+BnSfffIlt/Cvr/dOl3+69yrFzVypywPIPQnkeal4xU5HauxnKDLA5thJdp1Kw1MTSGfTH2eOqc
yst9lErsIyhZ9tNc0BHQhnxVehXN5jq6oKvNoq349BxzvMjMIDwLAFCsY7cs6Q4VYo+a4lr1NDay
+C5NhM2ckcY/R9hM9g8pvRUUEdVQXZZRXu4i1HM3vSnC07QBgJFmY7zBlpofc0+UZ3bnxWd1MQ9f
Ivhfvq5h6Yn1jOEd6QKIbdqNKJ6mPhIHFqkdMnqNAKio98NBF3fWUI4Hty+GXWZCnQnGMN7S5X1K
ajKM8fMY3QOnCbGLCoQ0LG/ErVC0I1W0y11pJHe2E1zQ8LiqEgUVb/CHTHuwaAOcQBjNj6R2fyZ6
XdsBczmpJ0v4U+Tg6JrDM0ar8UqFrunLiU6U3cU7c1DZqpfuY0vAFMd48B84ao+A97SV0U8Xo4js
bVOlLT404ENaZLZH1Y8jxL7A8IMM/BVRuNuxBq4UlreZNR6DeQpoZyi/x7AEjJz8iuro6IsuE2zT
liqINk2YN9t4JneopEO1QbhHQhrhsH4+iXLDG2MOEquWlosjvg5hHW7IDIRZb+vthC8tvoK1aR55
aqBmdCcB+p8VI/9+6Y3ejkjsr7A1tv6YcyBXDuwfa2DuEWm3ejEOm7gGsQCoHtx8WUYXXodkozcB
H3rRUuYk+gb+enCQhSN2bRwFB8tSci2NMtpU5E0QYcJEzOsAgfcQTG+1sTqixNxoi1wfhO1hNmvT
z6I4I6eMu3m0TYQzSsMALfEDmWAeToYwEmsEffGO49c3yy1u25QIXKzVuwqXiQfmTNBHaJwO3zIw
ed8eLOYZaY/toR3WCJncdYHJgCnwwhjplD8QxtT1HgdKvk0ElcHOse+LAoxcbU6ErNkq882MvDCN
iOZ1kCVUNBVVnAuftsqGa6Q84gRyPI/aQH9gBPLKVKt1T6ZSpTeJSUQyKXO7cbBu0tImvEmO2jqf
IoBuXXKOD8OA+uwaflt2LSB8XNqTZuzgLO1sg/aj5YTXnTHSBM29k5BmTZXL61h2MfPS8bYd4xNb
Qdppo/O+0kmnsmd/cPvNSCBqVl24pG2sXWKiokjJO4N8aLKDCEUS3WPK4XjthDWZRyDr8+IWScDG
gBlYRfmT0ItNO4PEylzQfJWBj7AxrXOPrJwd9ESCiaurePCOWq1fjG54TILCQAdIgBAqgsndhoGD
b51w7+bbIrrgcy/EzdhMW3CNxjXBo+E2iGnyFcv8tacCBHFXM+0xRtN7jLKY/+ZtIXVubL4qmDZr
Sg64PpXKts7UhuuMphDaLrMATRYXBwO2/0oxFvNr0CBXMgB9n/UplB9RdfsMctXRZF3E5Sbucooc
Oo3VcMIsp7utAQ2jHra0lRlqYjdgctpnmUtcz1C4gti5URyIFquvqyDvLofOVPu4ZE4XDEiws4QB
ER1JLPNZLfCsBBeKXM/aMKeN7aS3E3OqYxq07A+pdU9LK9rUiikoqg4dOh/HDqDP9blRMScSMoj8
1iJAwaghFSUp5bwHqfAQumMGjKoWOy2M440rSC/3ysZ+yAuNuKuZ9S6x1ojhk30xYOgAUTPv68Gd
wTGVL25Y7AUCph2iG/AufZruse19MbXaYkoRXLkxaZ16RJr92IzMtnp6o4OW6IdcJcX5TMjSq9Lk
N6dIk5Pw+x0UJjv7PhA69PHuu3MdYSFDUjSzvucJdsFpWYbGwYxIXtTaro8uRfNpc6Y37azafVpo
1XmwPF0QfcQJzJPqxENtTFe7fHDipL7ixOKRiFaz8oWMS85tdw5IxBOxD4c33MdQLvbGODbACCcW
hkIc60rIPVjul8JxtZXGIQEtd37F69A2YZshrfpHf/Wb97vU1e927Tdv9905MLGyjFObre81Mg+v
m3o0YdTKhhGhNq//fKm3B/QftYnEWoJYnH+Qkv5O3KnjXspb5vn7uHNfWpcwpsm2vqITLvzaVg9/
vtgSU/3rG3t1NUrU1+0AclfzfiwTY4+V6JLBgfmZbmN3SIbwux7XFUT1tL3E5xAdJYHve+Cppm/g
mmNOGrZnJDbuE75Jv+HWhDUxotPomMsHPPDhyAk0jvkKU3shf9Gf9o2pLC4Fyo6VAhWwzkad31Ym
8aoxtdNx2airZcu22Lv//D5/9/0tgm7wNzrtlvfAEF2zAFOljb5HfHpVxrmzB6MAyjKyP7jQO3vO
z6/v9ZXelcJpO5Jrb4TmvkdesLcC71mfGzAXwijXjMm/OUYhV6NtEVewVArKHUr/z+91+cre3atU
/LrDCREZHk/e268Uv7UjNPaRvVPZaK8cTA85UUmUbo52GROSkwE5yNIPbtvfvfE3l31XUxttyeIG
bnmvWTbLQG1/d8kn8IeaqJcY4vWxmCCsaU19mS1VjjugBfzzG//tS+BLXpTRcgHRvFuUMoF+VuUx
yqIYDVjDlhjbzRkpZsE6AMO9Aih6AeCDepMcH1b9avvnF/CbR9d7ff13q0RHMjjxbaG1b7Puq9nE
43lbBOYxrxweYi38wF+4nBTef88oQHFUAixD8Pnu3UZDDN0RffXeNok/1xngruImaDd/fk+/eXIW
Ff0/V3n3nhoGv7guSmufM6pGh0ISd1NYmzZ31Adf3++utLwVdE32Im59v/ApDxTyTLDPHAzDapD6
5wwVPc/tB+/ot7fJ6wu9W/M4f6DCy2qLp1O5z/HQXiQY/nYegpAV0m3zJg0BkiF8ozyulkLZQIH0
gcnkN0dmSwgY87DsCQ/h7P72KQ0YJxMBHJj7zk3Ufh7q/lYZln6I49HcK3O8KxVG/bAPF3c2fJSK
aJG1u8xH3Vx71Nw43ShagdVSXRQnaZh/JlMyu9Rj4z6pnfKDA/MiDX53s+HBgd4MCWZ5xfa720BD
yxbkc81LC7uTAmnpSo8EoI45W5Qs89noOeNGdWLfNRGkniFG9GpSjpC8RfluF9mmz9k66r44UKYG
m6TU/RxnH5Q6xHgcIl6UGsKDqHJKONM60d2+WiYwHM8m6ayVFrcbNZfUVioAr5s9GzF0u2lASSkc
XNRN0/wscf63UfVBowpqzOJwfbVK/NKq2hHiXT+2r4cv//zUX/p06xPMCqYbDhZZOieLEPvn+MWh
KUXuEP1aPGZL64k77e9+lfXJZSUzSdxgCWAEww/9NX4xxCe6W6bEkgn2SGfw+K/0q97ezHS8uILk
mSO7B9Sj/r4a8Iy4dxpm7ZvWprIhgH6aPkeGM/5r0B8uQzuMKA7HW3yPYDzePuKNIxzqKAjajpX2
X3uhyS28nrBeIYNHlZur/oPukr4s+f+1JSxvjHqRYQW0IzyrWH7eXtHLiQbu0sDZuPro0dPKBSl0
HYixhVFF8nfu5PGNZMXZtwFESLSC2orW0vy1mEx9J1jsjo0T0VqoiGQw5i45elM2nEHWmk91nuSP
FsG3S/7P18tXbrHee5S7P+T8r4ZRCRLbCS+buyGGIP8+wOtdIwDlnynyCh9cJVHXoYvkIZYlMepi
/t6NcrjHQ0eeTVdaL2HXpXdFObbHkPTMl1c39eXPz+21Z9X49T6hEsf+SwyICWdPcj++Lo5drxLE
YEwoTnRlncWzno7r2C5N322G6IQRswvzSlflSdaa4wbwXEgykTFCDXJxfo3wGgyEWxfTiItTVwda
MFdjqNN5Q5wgI7p6ffrFpNe7Y9ZBWVQa5bcOYf8unyp1/ef38mNS9f7WAJmHV4Tlkz7/u2pBxjP6
rs60WaSz6HSya1QB6P1Cf1RMNoY67jACYDujkdMM3wtnKDl8I4VPVwURJqTBedpVN47tF8fqkffo
S6pSqtkPo45PsLHP3BqyQuHGZCpxUr9AHdcf2jLiqBwmX5RdoQQP7AfPbs3zVuvWBa4QOcX9nlDY
/JDWsIz/k7ozW3Ibybbsr9wPaJRhHl4JgmOQDDIGRegFFlKEMAPumBzA19/FtO6uSlVZpl2zfumX
NGWmpAAJwN3POXuvbVS1fLC1eKH9mv7RisuMeJNW6KNy3CxoSXybdpCyTsQLpp++i/R2ZVDKHx0o
e6c+rxAjEQqqH9tKV/MqNzVsUg105be//i7ve91vX6UfYEW9L0W+Bfzxz49FW6pcCFM6UY1/9IhT
d/nEj+0+2K2l38yp43mtGxUQjq7r9SPitnb91xfwx8rx2xV4eFRti9mqYbm/H5UErKyC+ZMTGbFV
XRoAOGgolP7ACHtLBfRLy9VEkxS4f1ghJ6p2aE/UL1eW7Q+badFJJgrSrikRe0NFL9eeJqFJ1DWZ
srAzBD1grKbjSLTKEbX6/BkMyngaRNwciWbScK0WyYNgrEkLB0nWCnfL9ODTCdv0g6v/zZPL0v5v
XzdLw31PAqTq8C7++esWvi5G7/4WdoUcz0llDvH93tp7wb7ySCufbpdh0LMyygUokZ8cLeEg8MWw
KXbGYvsv2JDmr1Yl+s+/vg9/Pu//sXyRHoRQgDsAvsf97UEoE8SZpaOcSEEoCklU/ZWO8x5h9LT2
pvHw1z/sP3wNlDQMoUmMpbr73ZXcsEEpwh6cCDCC96Y3MyLwccj/hsP2H1bkP/2U35aJ0qe921mt
EyGYzr6I9W0e5qHWyMzuGeL/jz8RRl0srPfzvs0v/3xjGWA4xP46TlQSSftqKHi8U7x4f7MLm3+u
hz0bNhQHB+xgLOFMvLzfTtomS64/l7nLmLy9iTsCr9LnbZ7d2+TPTZBdGG6H1qQ+JzWHtDq0y2Lg
QGE/gW5tqXkdDEMX9qndXN1OqO3dm7NypltnColVLNUjkSXlSh/SvbAnc15ZwdLij5dfefJ38Nff
bw/GOseGcoUeAYOz/jtPebEXpCEuSkvaxA1x9hmGHcQA68UlifOv786/fW0wVe4bH3J5bHw4Cf98
d9IlNktvID/cK93kEM+FtvP05c49q8uN1cXDjq86+JsfylHw95eKQSKvO8clFjZIPr/fLoW9zKxI
y4nGUj07WdFEFs6KbUCU45slG4wmVPk3mqj7NlHvhF/lG0/N5keemAaykPTI2QfxIWMAK3YfO0Ey
CWuL3BKBvS37WtwlxO9Qp9+b0dhmumpWiA5Ik0HBvJIlGjFPTXunGLGyo5N8DFwlQpgr5JnN6DI1
h+Fcps/6pmWmc/Ib5AsJTWNhaiWce1Jcg5gutiWqKyRJgnOw+7AP3Gb6xay5+8L2nxKI7ZcFQK1Y
PrEQd5d6qZx17TjJW9dow0WTubmhMZ2skUWjH5d+tWo7L9+WmVsTDSXL/J2EL+Oup6vTMJi68dMs
gxZ3F9IJEpot+33KTJ8E7upZiPGx9bcDnzPLE2KxM/CkTlzVzI6S6jsyqWwh1MdpN44swPBlgdhN
JeYXc26rM56U4tGYXMATJnEicE1t9tx2ML86q/AZqXkMsoyEmW1WIBaH8hpHi8JDt47ZJL4XXc3A
qasnXDrI6kr3iYEAak9pVcmqHgbi3UFczMfWSu0r7iUq3GyOJkuPgmbaoYBZEJxYu9h9HkjBmNEb
9rMZ/JoVOni6/nIcvvBmQhGnObtBdF1FgT9+q1J56MgQ2tCLHE+xKY1XmZMENBYt3KhZNDBi5xJ+
WbAAELTktQqQbieDfxoLj+aNaNtVOvwRw0zQMA70fry06I0ZmpTOYw/64JPWd3cZEN2TpJwmv/yx
D7YJGZU7Xfri2pW+8VYz5vimMmvL9KDpNxmw/McGptpVK8qhBcbMbDGsTDmvu3ycX8pk6a9IoocX
YeZ4n7R2ftbSWGyp8ouzJmSyW6ZWuxUctM5DLkmX1k19bSD45Ce74hwv2hAVatKjgdz6Dy022n3j
Ns7ZbIXEYyH73YJA58rM5Uc7ejMxTwRNK93Rtm08PuqJvV2aZxoVUIyq+SLj+UQueLfN9VztG6No
fsaxkT43pLqvpMXw1Bl8DHWyMA4auAe4jLJndr2Uq2ZKnKsnVXomLwDLOvkVYTO39S/EstNGQzl1
YAZeXWrH/0ql887sLcYVQ6BYzDglm755ndfs7ESht58D4jatCc1/l5Jjz9BhNbTJt1Z030QAuWbV
O0b7owR4+pr4BW3dQFbbwJqbCAcnltxKdQ9t1TrrNmjdXd4yemo1P4kci4tCVVEja6q1U8ZVrYUR
85uL+sYKO+0kEtO90VtuxO9KtqanHkCffllOAp4Le3CXB6Aza6xCjERTfgPzqacRBls0MoNF5ez7
lxiMRoRh13+ywAx0vtPcylbRhBxYFXgHl7VtZeO+rJzHRejWdUgr7gmJe1gfOzUcbKNTvFR9ukkD
pUKmvuFkNuLBy1Gfkg9Pk2rGDOBgv33pLcT7hSWWo65LPmAju3B2WB0h281sELJifpzmH91QDw9j
4qgzwvTy6gAIO9EcJWldEEqXlvkWR8k788Nuk6AMX9v3JlOvM3YbAyS8WpWfmwKS6Uzszk9L5QOt
OpmvZXD3OBSJfDS1KkhWMaWdu7Eq+9WKpcMaiF83SvF0oj+8YBwabkk8H42KHCgcJ0uRP8dFUfOJ
RXG19AnQz5yZnzqp03fVAid9Xy32Nu9M5AgkeDPAbd0LBix7XYuUAK/JejLiKXRqG2DcEGOn9gZY
GGKIYCT8qEd5TA1nXdrFjzrDGQsu2d4q4ZrbVtOfGppU9K3GU+2MIFsGZvYrRxfdW7/ADBZS1fH3
hPIMBXRceZs5n3uq66U99gZjTBPKBGkZyXlYOh9LoDLCVFkLBPBmumf3tHiNs6DGE0HndAP+Ft4m
QQgcO1A05HlxbCxtfCTyW24yvUYj2DTi4Lhdc7NdeU0LGmRNGWgfmd02HwtpKXdQZPYa12gH+snO
HrK4td646iaCw+ec6zErt8HkM1N0RfoRYO08IFQfwImzc7Ym9OGUeNbdmA0Y2/qccrBEw9hhvdsL
y8EmB/MTCkahn0olhk0vWbzzrL22xq8ipY+wIraye/Z7rw47ROSPpirnm4th7yjacj56i5cfdZvp
qV328TfoGvPbAEY6DMzSuEGhJ8WXHKZ9kZr5liDa7DvCcVyUdic3o/S9N5HoCNXToDnkjHNXWTo/
YhFN11NhJY90dtCX8GlB68zOsR875yG2Bgdk6ag/Ez2SXcust/Ztp/wHO0iGSA/y5DRWPr8ibv4s
vfxTVDJ/Th2yoO6ieJzIMpJD98OvnHRTl5wXEdXcV5cgTY2CuQHHbrx8876zMR1q7UEMF0fPoqpz
64sqcZAlYvL7EL9cHGmD750sWBo3hu/Op5PJ6s0zcbVqmv06Q/VcY/Vm+5P9uEVV3wakifT5FsQ+
0Tu2Wx36QrqsYXa7wRlorTMdxJuntfJJw02Fi38pg3HjCSfdI4QQG3227VVpSJRDNnEv+HxaHHJT
7dr7PBmXfe3r33y79x59/vwKd5p2rYO8PC2Z/ITkgW+taC1OwGVbP9XtcMYCtvM6+1ft302YS/Lo
FIFLAB9gPZys+X7EafWceJkTSqyKK9pRpy4R8O9ijKFtvGnjShGeZcyIUIkSuigjGC593yUvVHgu
jpwyMzYBMU/pysPldCbfOn71Ws+4EbGkn8xeiYOVJNNpYuD72RGbAZ9e4oRSNRej6TYWyUkPfvpZ
Wh8KtJuRmfLnDAIr161b42bIOPRtYsL/xhXrwvxhBp33UI3dDE7AauqoDbz6JoD67lOZj18lMETS
sS1NkPLrj9uuERZuVSMzXrSYM0lOJAv4XYf9eqT9Q/gmM7UtohqbrXKQMRYtA9kHma0cI1WVbGdp
OSXnTOkK4qKgNuPkK18bJ5jeWm8p0Td0ODdJqkxjOuGYpV3g03lwLtJi3JgFoRgWxRDT8lhz3hPJ
FuSJuHx3zcEjrFrDBleovMF7WAX42qXg4nUX90ywQJcBQCS7VSm15TIVNCjXfdsJBA1pd8rH/Fa5
C4qb/NtQ2QNJXLN5IAwz2Q3D8jYsJi/0UklQ/EULamppIrNCju7ftxsEuB6n2xaQFC2iaV2jFFkj
HhseTCyQG9hk6caz8hgLlldjYCITfT+makMUJz59ch7ZXbOVYd1d5R2SiqM2ZeKVyKjjEH8utnfz
lfnc+uOHIVMS4ZLvTtG9pSYuxSrRqqscmfd3eu3h8am8h3L0i35NCG21bnSjQ0qwLMG50kUL4ilY
dlWpDdhuSpNzku/Up8Bp+yetK7D0Y1snxVOYw5kstYRIGFAiGCRrsq64hOFRxk5yLYPpKZ4qC5dQ
Xb9PUP2aVat0a0drSX2NxE8/4XuT23lqtKgWwtvV2pzcXY7F/ImwdqT5asSrBLQb9jvrzjW3fPzi
bXMl/1HtRt1I3uumR0BiIHt3mwQHTBIcrLoQV7eg37EygkyuR4Rge8+p1aveZmw6vj9aDEbuVi63
WahZdag2qyF2s1/8mRo6EUZ1+GKay8bqtqmNV6nDgoekJOL83128MoCHYdNqjVozqB7wZ2oOzD2A
kmWeets80HuWXLuxAH+YGq7swH/SoLNDF6dpiC1sbt4p2PUjHYJm2/pmwMs9BMhaNEzoMUymXIVj
UNXkbGTLZrLgg/EOIw60QNniul4etVEfoskLSo7BIKz2Vu1rJz21YsAqU1ucyhQJDiiLOnJSTP0N
gTHbISZzMIMreKwS/6Uc9YOJi/THMiSoyFKZPtmj1jwtqM3CAYU0Jh+W046Z9/UO9/6eOmVwGwrT
PMFFjlf8lcnP+1L4HQ9g+jSoSqKoNArj2OYQZ0WuBS/e0vfPXhEUwXros58sLOU5HdX0ovQZQ1vm
oSg3ZFd/VzMuWKxIxS5N/OWh7LPkbCyJvCLdbA5NLqw9U7MewkyFnEozk2+ZGNAYmSBgREkLUbl+
doTC0n2rgsyCJzcE5ZYzjxARPgPS3CocT3L0cJjRZcguNObG18KmMTdpc3VogrELVm6juqvepR7t
lKWddzXntaNb9u6XMkAdrpa8zq4Wj+pV+vlcpytNkUjieNTHaUk1uUMlCuW8Jq1hI3O/3qVIfL51
XdW+y5zhYGTpDA6IX1+Q5nE4z19gFwRrExltZENgB49dVRQ2hAzqD5Ak07Pm6uTqOo3YjTFpP5pF
Bk0+p+0j2yRMNmshx4+NOAkJrJlfNXQ/L1qmlVjofWctSaGmOKz7c+FNVy/2PR7+sRh2go+ATAxc
xC/+1XYxt4HniAoiQhTB3JJZx5T4zk1Lk2zttSRyIkMu7FAGSYeL1KBfqeuc7/jf8mcp4ikiQMu8
GPjRKe858JzjVhs/nDTOQX8TBRbFBvGHYVPbKrtZaYrSRSJ4XmvLPMhjY+NlbpP5xgelhS7aSaOo
qiAKL/28nTy32hWWpluvVRx3v0Y8EZTWNO7qA2nJro1oanbUMZgzbAVLbHgzGZ9Fq9acpDXtAli4
94/G7JYqmhznbaimaicW37qVixXsMi2T86oamx6kClEvDW87zEziPyt16VHzshQsyzCt4iIL0k1F
7gUSRSar6Kt8Ec1dO5tkIupIRNzMYVDlN8hiHCW1/SSd5lRYQfeSQToJlaa7KybW1GmaP/1aRLBU
dGFtdVi0pvrhECUKM7Bki5zZYbEgQpd8gKe9fDNru/uV0gc66YujffLR5fsQqw4JEdGaB7ZClgHu
DRnM81D57dnxk/ncNeBE8NIv5WZ0Rv2BbhiIVW8EbLIerTK7My7EJUNOdm50J4ch0lEuekr6BJW0
Bc1tFu5vGJrIEPQtdcx7PJyEi2sYigLlivdOgqErhR2/MVLivSL/i0Iva57qMfYf4tZJio3mWz/Q
fUWWQjpp9zbDE/qZ23xcDkVBSjg2UI/zzKIlt2z2yudpmHrYkCI5itQ3LoVTkKaYt0MLpWmsu81c
Lz3jb2lGzLPJsAbe2n6zcnfc5Wxfrwl0gZ4VPnUxvSqjO7RLXnw0HJcipZoetZueHBEZGo+iyzXo
PgURP6sJ/J4GE4WQjHCaZvgEDqSA0J5GhJNEV78pquEfpiN96N1LcjTH6aszxq+20150SoBVmWfG
HtnUtPZJwNjYiiW0gXn/2ookOfiBCB5yO8m+RsgyKNabbD7T2WJnqDhYr3xwJ8NKImeL4NZ24TKR
HdgFCkQKs7Vfnemo7uf9R9Qk26o+uE2pjfXVNUe9WC0jagfAMboOHtqabZItRguIMR8Omg0l+PLq
tBCdw2JRPzJN1EU4+lN/mWLvcUx759TfXT18rHid9VNHR6ewhuMIQ2KPV7cn0Wh+R1KwEJGqOTZR
v16xdfsZJSZLxLRu5+W7P9CHS7bQBN89bNsXXXrWW8dHP/hswyRq1P2eGVcT0V2yXtmdQlvDzbDK
49k5a8akQs4y+UoB0lhLYzmldYW40W1HJEdSfM7lRLutGjQQ39S6GqDq0JKqR5FUw9Jq/IH3QDOc
fceRNlmByTXVimhKHG6FOW3ddtG2jd4BI0HUAYxpMMW5M7V6gx3M2zcejnQipBLjSfgtJlc088Ea
ciE5H1o+7Reju1Vxmz4aJn1BkP0lNeBABnyMORqGJM7tmcBw32/mHXccbfVi2gxdfSwbQxocmzF4
U5rlvWIGd0mLaIl89xeD1myFa4u9F+y6a538cXBBK2XybTTc/Fg5RNxzOBAokUcVZqPEeBsE6oTN
rSDdSdfmKLBSpnW4AtKrN1MV26Maj9Ces59JC7xblLAmLYcpVpEl9UtFhOAz9sjlpmmJ98q8vqEk
QrsYA+0Aa+kDpApLN0dOaNe9/+rDC6YHW5pP/Vzj6JozwBR2T97DghdMWJYftgo4KNL+sQ7tmkcl
sKcKojRnScAiYJKgxOkq1AoHPS/K+ITj1jx+ZxmVPeWvAwosaBRHe8zt0LYguS3h3ElRgdf3hltv
oMsqOd7DU6A9oii7zCxZBY6CuA++8yybJj74khS3tIEppJTjPhBDL3eKOOuNL5ecYMeOGqgDGNfG
uXjMpuaxqyzrxZjiVd2a37PG/Qhw4K0cYmmzFSc+GbkpljmoKm5I6P3JRYi5SxDb30SDIpMIT/9Q
zao8ZV3xXKeBiXh+TH9J1N1PXmvbz0PRxCiQrCXS5PgUmwq0cOyqm6oUyp7SKc4TOynIgTrqkny4
xdqSgGipqm3Xt+4GB2MDUCK1TiCTBrTKot8MXUMOvWLNh3t9JPBd205xtYdW620Hm8coT/tfOFGW
zxkojiW0KRxmmFewq0mSZ/AEgrPao54sI9mSC+HhEArL2OsbnnALBIW1pM/9MGwWxqGWrLnHjGwj
fe5+2l21HBMILRd/6FtIDAjHIUmxkpJMOGxtUmI3TaFrOOQAk0eYbaQDWV/2gI/D1umGTT57KJJ7
RstwomR59MFKLEKLAkTVI96L9ypwPgdfS7aDNhn7uUbQ1Pulex30Nmw698Fc+p0mqO+aPrGPrUwv
9H4bZgfVtknza6M5+o9ULIqliXLYVNVEO3+cjzTAXgrCjROheyGDh9DMMpp9xHHsoScck7tWvG+n
8tOCAwTcqP2+LMkDnFoDHErWNAlIG5AxzPZNtgPN2QiHEojMu71nzp24+4YIe+5rJlkcPbyjo01Y
JRYKZLecPTT/pOn5RpXTpKScACo5fa/RUR4hQxEu3ZD8a90dyqy5a91LCkIdMudHU9X2kysT8piT
1IQ4ojTT3dhz3u/KeRY2vZYmPThaVrhbqzKc93Y0tOQj5j/werYC/z2+62fLBlkC3YxuWzGPUcF7
ew9zd6PFJyh8w4CCVkabzddYs+MnKcAFZENAvo3nm/vAsQjOleZBOmbGHH5Uat4Buss+ID2wK3o5
jxQc8SZ/1rIlZ+RoWGnwkWQxC7HhYCzRJUy7o5tRn4RJ4RrqPQjy4hokWCv3TJPzMpwH5iPMR/OH
kvRVqPekKSkJ7epuK1sNCfshCe/pfT0NkH7CLb/laiyehh6sCGhbRZg9jqRlpeIaLI+bud67qMvh
Y25M57PAoL1q7WCAmxVwbu6o64AjTCVhTb0Z+nI2+h1YYyCIOreaYnCkWowF6hJfa99oFLdRbqK7
JUzPO3iuQw9f81a23TusVuXZ1RtsuUJerNzcd5X4SHXUssy5Lg77e9LUF0tLjl3ea0+2ARcNaEKd
XB0OJCeeuPSdzGRJRSwRgyb6gzcbn6R33RNyoKuVI1YtJ57lqsqD7VgF38dkvDlyerNjkkZJHOSY
QYCd3E8FP8tP+i2hFc0Z2z2Rxi0PepXRbEww7iOyMYYbezdeN7+gS5aXooooA6hUe82GUVEuY/W1
jE4ZtrbVhRx79nWdkhrjxdRMNqGuNTqWOBRBp56Cpu5fknt0+5RZNKlLR55z9AN6WZxQn8eRMXnG
2vBTmhRdE8dv1AuVHqFKk2uvsJb9SJzo98zIQeq1JPAelx4DDAHexR2WnTEWBoQdatWQsOSloU+/
YM6TYDfrxrDWKXVM1p+qOetl7TxJFRgctOifZrrGcMTJ37tEM7bzyIpLb3U6ZY3TrqEjLW+zR9VW
hYyy6GxA2csublu9KWVYV7CAcbLpemv+LvSs2A2cjk920Ltvs1wMml+M9TgSYVJv8hlD41Rqulx5
Hl8DejAt31ZdEl8sWkM/qU2pQpY8PoMTw93c8/3xTWqpZ0SxY5QvlHAZQK92SzZRqCpDP9oBNJi0
G4uXqpe7dhBq41Tqte8AXXZN8sIAeSswrJJiEM/RsLRdqM8z0C+ndehx59rFShgpsq5kL32D0tP2
8cE5Iw/aqnT19le9ZGchPXg22UymTEtUbNlEbqHYsmnkh4uf0YFPBSxxa1x3CF2ALpoi2QRzhXWo
QYwCVc/JfpiD6QhEjULt8Gy1b3od0Fsl3mHv5Kb8rAv6sevJ5AFRWQtXrZLB+FTifIHIYvTFrogL
qoZl8R681K9eTLJT2u1Asy7A+JIsXBcQOThOyTWVxbn3CFToRpEdmJwwcjCrcje1QVmtW50A0JVd
qeW2TBmOHs9QIENT39z5WLBhm96jvE2gN285q+LPxWiNsEbb8uQK6IWcCwVOscVmCXO88bHH+r4a
zZhCrjEhxGSmoGSSjb1vzdGuQ9dRxVlxjjmMcwz+aOiEzTQtnWawT2XDy97rJujDnq881MzhtegW
+GWQyaLMHdstEmyCZQJz73qCbVClztbpOEGR89WbwKjugZctU0UIhHK51uKzI934CxihFrbeoD0U
9xOvWszshl6vOVsBSJ6mKvPHHJn3jlfJApngL692anqRD7puTQwGkGAHfJVJViH5Zc0U2nnOulUT
GI3MiHQIb+TsHGP8YsWdQpyL/mZgld66VsHcv2nvkzEZIx6n3XCImQKtBblK6zqz3NuwYFwtjMYh
Es/zYoIjGjaPIkeZPNgYBFI8U3dXmlrTQ7LW0NoIRCi0/o3IJufJ4Pm8poIURzyTPX2Hpbk5KKUg
BZFwzs7TrXMWWRpUo42SWS/ophRztvYLEKBZJYrt0Ln9Nxmz1jVgQfItQHHPW4Ge5BPfyVVjWNZ3
L3Li9V3kNelPQCbmuzP62YXsK7lmnKjBJ/DNFcgcJ/S9YAxNPXH5psqGVAxrPqbk0zCOaEbuDuGG
/oemtHdM/l/J6FknvOKPPFB06+kmhVXZ54+pZlQgyu9027Wy02o6Bwuj662g6h22qNBZzdK2G3c8
1pLjo0XLVFU+iLA8S148qXfzfSMisbUJSuDJGt8skoEleKhHI945XtX+NEGSWvTcY8/qLxIo2b7W
JzgfhQblrFc58pm0x8aW0Cx64unKvhW1MN6UCdMHWlVCdIGD2RCz7QVLYhlK747gjGdMu31p6G+o
LvuXYiEHGHKopB2+GP4+bU1iNvEpfQXJ4q9FrBdR4C7zkwykeKihc27YLcrI9druUE864KxFH03G
L8YfVfIAk6mWRw307NpMyvJA/oGx1+Bad/c9xAoXyLybDurhmUZLv1/SQvsoksR9JZnXP9QUSbtO
Szv6sF66nbIc22bvRqU5DZ9aIM19pszYWHmmcsswNbKHeFHTI09kyZHabt8bd8x/WkFJLx0A7JPn
maNazdQ7Yj0zPkbBAMgXavGU88+CLskz2NBgCBlu+BNA4L57MqaqO9tFI52z7tfjAXJEjXZJU0Pk
UGvtZJYyQSe15xHmm08l6VZ44o20jITbo1ExBF09eC3P8WiZ51QAmzANj6ZNacKcxg60EUnHENNf
ype0rZCQaEiolq45aY324tXal4W087kSmrxBOo43WjNl91NtM4Z2lr3qWjte5iHxnq2pGG/aPIKv
z6+KVuvGtPPhrWjc7tExrOlNi9OecIF4OFpN5oeDFw9vLCtvblFap1m7nw9UVZytwjaPddnp2zJJ
q8ekh28dO2PxOY5xt5HK1MO2GjNKFZ3VAYHVjtowS0IpzB5KKGoyAJad3I6tv7xXiWznFWgn82dl
aZzHOqHjIuKcfMwzJ1nXUF13Es4xVmVvCRMxmKG079KIevBZmhKB/9Kl7+MC6be84SBgkRIIahhv
TlA2rLVcVQVYvDKuNFuz47j01oaebc7f6k2bBmzqPhlK61F4sosqWDVrLa3942DQ0sjrX4p+jTux
Z5TxMG05RgeQ0ixbwhfGYR13eb2TLl1j10/e/TT9RKX05dNtDROm2FlsbLD9ZqHs3HwrZPNVuEWz
wiW2rbO2XFUgO0Ux2+u0Gh8woT8or3mdBpYd0FpYpBkM4d3QmRunEa9sOBj2esw8A4iweJrx2qEY
wrY8prs5r8vQURkKBKZC/UpNDLL8gXZP1cH7M7XdossDCai7IZ8fbEn3ezZcJkL8lbvOn/KN3Sfo
kcVCKjbT/fw7eOp2oxF1ffJxwjyZzL+enZqKsVkyWuFVY2z/19LonBsZ3Ude0ScfsBTtEyWwvln8
pABol3Uvfyjm/l87Rv4/InFRL6K89bDy/V+z7L+ZQdYfn+3Hf33Un/91/kg+2v/afTAxzf7VG/LP
v+V/m0Osf5gWTT1SED0gWCwT/8cc4pn/wNqBItTyHOS5ALf+aQ7R/2GRen+PUP7DGoIc8Z/eEBwr
QNKxk/h3UeT/CM31u/wQI4JLKjCWLK4kIPv1z7LHPO+xr8dlDKgE+zYoI9dONwYk1mKy/86u8bvE
Eqkj0kpsGvdMLLwyv/2spAKcITAURwSqbNiQwf/LHTxdGIfOZgnkewUKtVffAotnfbkkFR2S1Hor
E0Dl2XScSrFxa3P3L3fvP7gejN81pn9clWXaMLu4PJcoiD+5HmIUegG5inEk0jlCi7Av6duGyvQ2
QHUjpGaIESqKNXfjF3Awk3GNqAFPA/ghpw85gF//+oLMP77zf5W7c0XYFnzKb5d74vye81elngDN
mMRRtwzp1sztfYKA5GYHRnyZUiAMwtHKiyhHxk+TuxDATMEEm4uDADpONub6u9bWzjXujfJoYfM7
2na2F169Ecwf11atvnvTT8D165GGiNvUJ8IWEDSuJua4M/WnCYiCdTGyOhjOqDo7ZsV3aRvq5ZBg
y5MutTWIyY2w63Ve2qeggJiYZgdXuymzuS1xxQnCXtuSTF4fbpg+rEF4IB4zD4kbbwfQTJ1r7jKG
rLJ9myttT48ZStMPrT663kBppKyDAOtr2rsieB2H8dsIBXXVzhzOxOShOX+N1cDYnBPk2GwtlFwV
DieiJK6Lfci8/MxMLWSKHfrOHFVefHDSHpACDIK4xA2inpjzHzDBwA+wdi52wnCo+vsccN7cOTMw
8dbIhCGg0Mq029OYuhuyfCZPrSkUw5LxFHv6Bn3uqnO+uX5wyEmO8OpibwBru6M/jWykX1SSx9SQ
R6TCpAT4z3M0BAjvpLo1gEi5nyASsET2LlR/dS94oU3nLSrHH6l3MfGHMEFZZez/SmNmowcHYfNm
jn6k51WoZU+FanZae56Fh84q/WBOH9n2D9A637uOCe5Iy4F+TBJcOkZewfwIb3nnA8eofPZDmm/g
nYezHjjiKeuRfGG1PM2SO+eRb6qJXN3MZWpgqvFomX0cPMagJH8mlqRoFFBdwmoUObT1uvxC4pBe
TVDtH4GVgQG3kNiRvofyzIjTvafsJ88YzBe3MMd9RwbFO9w/GClWkGyVYjROI05PXikaaPPMVrwC
yEvLxSwM8utjZ6iefFJK/pu9c9uN21q39Kv0C9AgJ8lJEmj0RZ2rVFKVpJIs64aQIpnn82GSfPr9
UXEcx9lrJwEaDTSQu+Xl6GBViXP+/xjjGxtDNg4Gj0kzF7kaZiBtKYcXux7THb0DnLBD1QfXIcPo
0ezMk1038raeeueuFdm39PP/7ePvOvqlJjbwtf3f82f+Xs3zgZ/6/U//Hx2Sc/QR+tYPD7U/nZHb
4uXHA/H7R3wPSwpP2pyHRNcldV4Ejr6xKs1PBCjJEH7LSs4n5bewpGF/cumn5Mrn0FFnyjkK8Bur
0vpETMAzCIpQU0p6+x/BvX4+EOdvDLoYqRBbckzpP8cnHN6YdqrUOg6CAlJhOG18DsklRPhigRt0
+Iucy5+On4+vxxckE0JQ8+f6tjQwm4T3vlpP1IYvJiv42k8cxUDxh8UPr8F/c9IBKuEo+8PBMsfm
ZxCaNyeL/nSwdJI9I4q+WgtDB1mW2dhqCFob+1iI8jrxg/66m0yM96LNVwwD3ptMi/6MoT3ZZ57F
RECnjHHQR4UlIeng1y4SL6g/40jAjBCRGLqRM7wZBH/zOioa1DBMzmBnzOCECbIP4LMyi3fNB4wj
3cS4oIADhgbOXBlXrVXr5ygVkG6bmSLdxo713soQn+cHYNpt0u4rLpbwPZCRv0rIeK4KP53OTJeS
7V01Bls88jRnsj28jeWkXVW6p/dMFx1HdxJ6fCtMUv5nMt+0nQuETeLmQQpDOHBHx1pg6nG2JUgn
TG9pTOFF5yk4P41VQ8qmfaH+msG0OTiN3DsB7wej78Qa/9cxH+UlJ71RrpLY9A9ToE1XkbAp3BlS
SB+ixZWh98Apyyctw8JM5vyWbEGOM9Q5jpzKi8gTMLxLGCSmp9XHMSTKqnc0tfs6Veyp4aXhSpMu
OQZ09rWBgHFgc/oUQeFcZINFcX0VFWjQGhJ570BiiONN2njLMMSJahpDu7YJtwBCpJU+ELe0VS8Q
Vu/GqkfvoPeGMrZwC13Pguro7UXFKZGUJl+eVsEFOstX+v08KGIx/4N2Y9TCYoetz1v2NCAsirCh
XsXiiwuZAQN1daBdLDY7dkVLGBEvgUiuKX5POFaDV8WotjCIDSBfaluYSrdFUq+oupsd3ZBxfCu8
b404WOqDeLM7/2gkzh7LYLpMUZJ0vKeLSNECIRrz1mcPxprNeItltoHsWC2zrt2aevyVwvWEpG39
ZPMHXA434Ey/Jl50zNrgADecFrh+DteH1X1Qyy2omwUXiqvQT7YtfJYwraM15NqeAdBF+az8qgpo
l7Kgu8Ss909Va99EWvGU94jcjKbDwlTple4N75KqTi7QXBmTjBevHtyBiyMGrb5V3poSHlYvLp5y
1NWY+4V7I8ja3Jj+8Br6zechEHJtC9Xww0giDlHt4pvBkeZXfTmZ3GEKraExlka+MfGpBpbBVeAn
BeK5eEp0j38AkjYRg3yRqujVt3Fw0O3Ojhm1p3XQpud1RKbzpaUS2r6Bso5D01ZLXtjbMBs9miTI
k2op3afgo0z2i2K6tLRpLvzGuSidf2lOdXyf8zogMb6C6SzWH8+qfw/Xv6ARfMyOHHA/PNn/dLpe
avxy9R9O2N8/7Ncj1hNMj4LFiu6akGEYL387Yj3jE83hcDUlMc4ZoPn7ESssSvbI03Mgu4CYcCd/
P2IFgypJTDCsBKop/2Qk+Qf8TEvOh+gPBxENR6a0TD6hlPTmgSb448yFsQVXr2V0IEnApHVJK7Dn
ubsMvxM+0OHJlZhD+iFkjdIkI0Gd9n0Q4nNMQx2MDP3OryjntSv11qLmLhLojSQDJP0PmqEhA1b5
fVLqlObQqETZBIPO1PMwmqr4VpbUXCnBlibH2QWDurxxyoT6dFRndAX7qfDKaiO78a6w9PesBDEy
5iDlArtZYiO3FlOivVmBeYN/XGBF0KrnsKgCNIJ+2LXjiE3Jno2dRdA/R026oyn1WKezobhVGag+
GZwD8L8rDgcNjX1EuTbj/FgSYb9qOREOpVbKY5gjHC5KB+1koafjo+8FFxSvF4Wak+gt0knPmu5a
Y3+3joeBo5Le02WIk2CBSQ0ZcYy3BBqsY8ljHdCcjV+AzhrOdE+jtMygXHjhdOOgFrFtdF+Nzrtp
xkCuDdZ2tyhFDAtluA6rJtmODeIvQLP82okLJqKh8V9NakN3EkfOISQVigu9Ak6nPIdgOyKEngby
tZXjcz144dKEkbksVd8saaHhf2EOfu1I11/7kpYNj0zKImIlviJrZl1PSd2hqhXvsdGqLVtj51RT
cbBRAaU3XUzq2dALl72lY62TkIYA5VX1ocoGcec20xs1dmRNkqEipNAlT2YxPiGyhUuFLIGujMuF
BRwLt6RjfLNCekw1vFZ9+jXK3WTnFN6z16YJ9XD851ObUtCjWP+CctEPhSN5A7hJusNzHV5F2N8i
KS8IF/HBBeq6yGhDujT0WK0SRyRrrDbBdVwF6R0kS3dJ8AcBL/HMtYpYkbel9TCbx9cOm/5rhIbP
vF+990HPyXpoeXYzYZVbZW2Y4W9vLr7mX8JxwDY9ZIg4zWM8ceD3eu9tm7lpjgbwLykr/V3cNhgz
y2GdUFa3kLHZbLKuaB/1gO2lLd27fvQubNDPOZo3lRkMyT21Q4umz0yygZRTbQkhBP51bIqq3mYg
Bve5H+GaCzBDnS05lDhcNW0V1kl68rD5rwu8sXsgVOxmeA+egrbpD7DvIvq0uSak5BjqyGu2E0ih
DhIeUnFam1dsgOK7JrbcrSiJEHP2PhpBM9xnXhYc8AfrO5JG+bK15IOhx2KbRH32mMYch7xUsP5o
82spbWg5VzvN/1IXZb/2E1EdqToLDtOoEIVoM7NopbJrser8+r0oay61BU5giVpzIzNruA1wPaxK
bk/rAUjism3kAZSKedJrfIWub9P96in4owbYlLF0u5MeT/Ssa3L6pR3xo7bMqJI98c7V45b18WTc
+kk7rDoN99MYDsWm1T1wgQ1ejLkMbZW0igIgWbrRToQzJigDOkG2TJcrT2nd57Hx5AOOCmdXuaP/
OdUdmmd1imgxhVJsYqH5x041XlWOHT14lMYcg6Li7hvak8Aja2g3XlZP28xL48/syj7rKJYbmr4W
QQNSsWyGc9n24r3HeHgX0Wy00qKGqmCazLkID8V0cOmicbymfI3sDuO/2WQnB2kMMIpUuxazD3bF
kmyPkyYbTN8kbdLyRqvdK1/LxIrBvw10j4YjokZoZ8XS1aqrofcFv7mRGa8y+OWrsg+dKyvN4rOa
/PLoG218CtlPohJ2x05G/Taz2uozwE/WDkVW33Cz73BN1/qKLg5BDAkrYR9P8UPv8W2kapzu/HC6
HejvXAk3N1bFqFh4xd0t55C27wq/2jAaBa91kU07I9UuAch6vFT5sCjQwU9FggUbJThiOeZ2q1xE
RyaW5I5dSHFrEwldZBEc+dpwNHwXjliYA/3RI81IDu9dD5nM1rpVq6F/+5HLFbVO6uOgka7WMojF
fpZyJ3ZMnsKR/c4kma88mRpLXIK3GB1/Ibw8Lv1YmfgGob2jzdHy3JMrMLtmWvedz+PFx4lU5P6j
biEIfnwPeDrMdQDRdFm0nvjs9vw2p4DG1rR6eBRXEjdbit625ntkoF61oMPgFOeqvojS/Wo38XWm
unlBs3MBiK5ZT5960/UYH3Bwr2I3ZP2jwm7TuwlZPi2+cwajvHag/DyWgHnWFV7XtTeFjyBLtohs
aJecCejwmvcFxXvaVF75Vgy8oaAPXfqKNtJ4GNUqT/WbCbcu2dVxyWkXP+CmE/tOowOxnl9pVj3+
xuxZ+7oZj57Wy99yMb12TvHcOwKPoQa8FGHRCddOA8XfJthyGPzgHIVVfe1SQEjuiUo4Q4Kt9HsX
L3svVi7z6hylxJgbO+YOI0d9CcyAEG8TVNhk22xnDsWLrvEUklmyAseKzmO/jqyclWW/ZVRbYnI1
MLGY9tu/192/VQ0N/w5OOwug/yy4XL8H4Uv6Mv584f32gd8vvOwzkFls7CEm98rvOyXXY3HEtVZC
a3e+/c1vAC75CfGD/hOQHAw/wCx/v/Dan3ShY/Tjesrvr8ON/B9ceIX5k/TBhZfLM6UgbKcsPpn1
k8jAb3Dr2pkjd+SyrWAH1FgOC9ck4j7nnsK3IUFwb+VANxeqQIcTbSS1LZURTxSj+OYDif5sn7dS
JqsSMvTAA4kCCVTGdqi2GaTuB0J/OJ2V0k+ZptntGU8j73+HhDY2IcuKvV1TFG6y1UcXP4CONL2n
LzVfwmEIg7Xrt8GloZ5Cx4WatsuuM7SLZ5D4cDsHRLmFiTynJGlt4CDDWuve6XQokk3Qb3An99iu
SlrCEgKOv1RE9NSSuwfJOv6xwZFAJ92/Nb17RzskNTH7LiDhdam7tSZcA05HOr4Skdj5Njb1wJ5m
mXrkiEQb5e45DjBM0lHeqtD0Lm7huVtFY9V16abeMh6zHgQJDAWzxuOZdh6ifSh58iHNPPaFq/Dt
FkPpLCoSxgaNUmzTy2jM1gXymn4UAj38oHLVk7lLJWa8nCvNsYraWG19FGuTJeDcx+nl1RCsGlLX
VD9rnBO4b2J2V4Exzg2EdFUZtxMrz/FUB67Mbw1L546F0uvXu4Stkb8HZ21M9FO2Mj74vfLYXsW+
0a87FnMTD7wwfepTQEu3LpVYguPVpTAuJROYLLF0Ya8xQat2G182/dYB/fGmF1hnllmZeVuSrMaj
7eOgXAV6EMBHar563nDVaQr3X+6KY1GPWD5MXdtp6DxPjgS0H+r+GSAZNjs8+gGGKxKWJmkciFzR
rREl+kbqKdj91I+HRQVlaEtupXkzs97Z4cEKo23UT5FBMFEnQc215mI7WLngkXDnoJqwde9TQxuP
inpPIhqRPffHp/fUj1Yrdv9QRriPsY8yi4PucHhrjRes9cg9dPXorTlfp4ufE5/FUm8fJPdZyntY
GOWGfgqgTydF09yPVhzhJ5HNSQsAaKlE4QRuTcQAK63R9MFaOiwuM/7/LQye9DiDZFd8rhqCeJod
a8IcNFPGVnTh3dpdYVUy4iUObMK+oxfF+zFICPgWfrfKOkOSjg66fYBz8eS5fv+l5bUl+Fj4QMuB
oTHQgXgb9MWkKbWqa9i/UEMehygi0zniHVExzm5Pnx6zuI/ewKWrde065T1Oyga3dxfzc4/HraQF
ANoL9+9Um7prIn7vRdeVmKVGgS108MFMa6z4gONoyVOpKXmvitFIoGInznM5tkaz1glc7VUKnYFo
ccfIybWConXMMD0VZ3pVV9vJc9SyHvCUZgBMNulAYbJVB+mOAP5Bz1qsVpi0r1mad0+0NXJDaYL0
HHgmyBFQ24dqDL3TLAi9WDTYtMt/j8W/fyxa/6PGsnqnVOBHlYUdEEfi/EHfZBaHHZA3mwdcqX+Y
CH7bATly1lI49xzONxY6P9oOXLQUB+MBxyUPKLYzvx+J7qcZYIlTQNJXxmcU/+RInM/WH1dAlu6C
ivQsi0sYvWWeO2sVP7AQo9wmMeyJGVRExnZBeK+9dH2gnsIe/gx8qkunwX/JzXau7ErD8mqEbrCw
S4Mlss1v0ZcsqfuXuiqiPcXq3TpPKWogFY32arUAaLDo3w5SH+749Jw2sSrPQZSl77GUrwpn4kpN
nkb7BFxmWVjFGb6Kf6lEQJiAAoLPZmFlLwWhqJUmRlzp4DrO7IfukiLtr1KWNovBlOqROJuOGkvD
XxB63cqjN4saYu9p0IgsGAoJKU8qJndNU1s957hnj4WxeK5a6sbqnuQke5ZmQF0oCYuVA9uprmur
eysjCEvohLo+1XARroESRvhytwyU6rOgr3vXCD/96vllfsR6Fb66mBhYYDfta5e7zSXuRLaNfbYs
BNFMnII9IgvJ9EGDZyN94zlhjb+Ulg0monK9oyLbNS6BYBYUgVft8Gxm8Uy1pQyH2gbc5V8Krkns
lUs4/25gIJHUvX1NVBS/KrinOYWUNldhBddwabpT2VNUX3TqVxHr38XwXy+G59/u/9GatAyxJUWY
ksL/5rnAR357LvDbP0OYuYfyW8cemLvoN/mVPkDaunRdclX1PpbG327Kpv7JQWD1eLFdHiruTLH9
pr7yV7QzzVVIzIaG1A35Tx4Lf0a6wjOB94Ytab4yW+KnzXAXSocC2/kAVHX1kFWF81TRbn3tCq7Q
i9irhy+tpr/6iVG/u7VJGr3DkCv7MKS/ulGA1vuiXjtoXU+10ReHPisDYg5R+manQff53/Ppb51P
+JJccMa8c/7z3PbQtlCTk/k9+Ye34+8f++v70TU+Ae13kRxmrqTOefX9/eh8sh0TQvrPTV+m8Ql0
ylyz6DkCZ+Ssl/zmjnM/OTjCkTA+hr25H+wfDG4o/j8dU4Zp8uVtthoMbbRXzsfYD8dU6I9lzUQm
tkFsZ+kWOKCaljp7fwh9jv3SjD5aKoB/pNtEJ0A1wbXACS/FxrSadqNsOFrUfRFa62F0+nEHjKh8
6KZ8lfdkqRwnsVchpNI9lbn9axh17V6P8e4v4jbQoqU35Zw0bHamPegDN8EDHyF/cP5scmK/J2Fi
WU4ri4RU3vFdyBm0G8sOPG+idlpe1u9B3Y/ofgkYUS+LvFVKA+QNbNzoGLjQcEYRRyvN6apNJjiL
rDaL1k0bu1e0ALHIC6eaUAiX7jA2vbc4k/j17QoeoNH41rYYO/2etFl0SkpZEVrBN5XhbSZ+1arp
AOOJSneI7RsxOeDJzJSatEUo6heIcXyjKgC/lbkVdroAQodahlbPohDS2q1K42Alq7I4965VvupZ
WuHsZnk/yeeWbA+57HiRWOluGtNj3ztXkz3ehhriv211Z5xY1xqv3AooMRF1Cpiht9Z0Qsck1gtN
puky0LKSCXKgzSMEIX1pbXBRTDo9lb2Yjm7p6biqKacGvZBZK4JrLacr+WUIvSOs6dar9R6mnyhe
NFMbr8e69p+pgrT3MaiB80SYCzqB0OQltcgRwGVodoPUCCWFITKI3prBanTbhNIsz0j2MhucXd9U
pIeCrn/oTdpcyUXYJPuHqW8WpmYcdcfV9oWotF8aYpCoZjZ1ULzTUNlJ5HxWqcQKTjk7UkSIW1/y
E1njVIzeIp6la5135c4Li1mst8N8q5N5f+5ZF54cShUwGOjxa10WX1qMEEQAJ2cLAyW5yxILA8jo
yMcCUgZFzqF+zKPKOcZpF6wqQ4Zox8ORCTs49vqQb+rK1HaerpItKoC4dTTCEuQHsgKmasI7GswN
/eR+d+NCELlOB7rMFinZ76XhZMZxnOpiBNwWO4+tI0KxJFof7osqGu+HKBj28O2Ms6ADy1rDhOlf
TNtV9FXOYImpibe0J7XPKvNh11GUvsPval4a3dWwnqtCEfSL6+dU+lW9TOKpqZY9yfPqxtMpfKMb
CarHCocRGQCSGhBhSTKvfQVVVwNxC1xN48vktlTnXsrs0aIARIGH4KWokoFdZBNwgBPBNIurKWD3
YaKqHJyYNaIW6cDxHNuwiPeK6CYObW/hTlZ6VmAzjj0K6XkwiPovhGOP995UGAcraemHsyqj+AU5
NzjpLZaQhTBgZfY17ngCmzqt5mykr9gNV91SGaow+KJ5fBJstq8pnU/ODVivdesPNGOlRspBaA07
xyG/tW01Vd66OPRPrmOVx5CIy7IvW8LWNOCZG3yTUIbYUkdHEfti4xSjPBrcVK/0ug23OJTbY66X
6jpkhn6mb0yB1fQLcAZifCh9C6nQLk3/Qq+feDXEVGx9xTKHwb++t/NyWEX0kVJgbURbitn53Rrn
OIMfpOoWG/xwO9qstviFq1vyjFQs8Uhdo8XttEqvUer68EhUXd95iU3MA57z2ZBedo5wPT1WGvdy
ROziXZklqVMsjGyWJle7d8ZOQJMR9qPhV5oNv0zFV4iPFMu1MNxY3/GWzk3za574ELAMVT7a4JZW
WjnUj1HYRbwp8BYtUgCQaxNMySbGlItDNwk3oGjgAE1BQySijsG/QN69t5wMpHfoghgyXTXuZ5Lg
MciiaTuS8d+CdnNhjNbTKjAorwKd4T3llEltqkZ0d5VX+2f+6O/LVjlPkcL7kgV1uGlxht4IiXWz
l2n+OjpsoSxDZM8C7t6z52bZuZN9tBWDFq2GKRG82yX4jb42JYKMI/Z1QngelmZmLe00CUEdpKQ1
eqvCp+vWe2sysnOJjXSJ4vaLwL+ylDkF5yEbA4dTLfOL59KkwpFosHNHXSFesmHcu6ETXKo47d/z
RlcrCjqGbUsiAQpDJypjLUcYUujZIem62lJqo40mXcFtbZbH0tHa5USfPTQgQsOpy3bK10W+s2Og
vxl965b5VI/1gR5D7dooejBZmKGcKLgetLre8aheG1RtLLMYU7lXZvW6rY16aQxpXq5rqHsQpnTb
TA8JEyVpZRe6VBgzKrEtJNudtHG6Z/sy/1uMAGbagPQe1vUzl2KezF3h0E6szKFko4d9uG6mkQyd
mNaiUvYm97L+DlCena27oPB2CCXYjl3CWFBcvYVCO5lmC07WNWe94TwrOzPZ+Z4oX9H5ssNQ8uOh
ZsS+cPk1ecfC32dTaq7Gwi9XRpODjlQCW9I07TAaTNtcifQJMsLbvEdOM/8lHJxmp7KUdvdc27Wk
9FogDkBt/D2DfrEcLM28a+ykO1hxod9bY98AlgSacQqdfCSA6No4fexQt1YyHwxk4wg/mtC1r4Nf
y4OBHv3I70d1dNyy25kTamcWdMVbRpXkzhWlc2hFOTGa2MlCD/PzfEFfpOk4rYM+8+95ATJ+pgK0
b5XU7osrRixxTRXeGMFAkTCe3xX6r7EtySieUzPXjw0rsyeFyL3uQ7gAS13r+3KjBA12QrZs2Dyy
Fl8zjWSaj3TE4i+xqkVt1khagauiteHCBNzKPCInjc/sjuB+EK3pKeh3Ofsw0stNLlNcBnlxx/0i
yq/TQNNw2WWo1gseA8twrxMAdVeiqmJ18oahPrBgTTHWm9F7xhNnXKCeq2U6UOPYwCd9MLMsXsdc
dxGxDOPSOH26IWk7tfwZ0Snzw2hDDh3VsIjYWHs6xnpXRDs9i8S6c1R51yh1AjG0yEsWz0Pd7Oti
KFYdotzC1eFrtlwtGNCTYImtfHhT0TB8VaV4ayK7fnbS/kWWM2rGtoLi5GmB3HVTR2jViaJlXpjq
6JhknapS768mi4xx4aOlOk2YLVXK8dTonXkwK/ciJpVdNRAx1qLT3JVf5w3hZ/A/aQmo2U7tfBM2
XXQV5znoJcMH+FIojc1u1m6VbUiCEbm8lvHov7lmRaCjroNtHk4mL0OXXeAKyuvIdIOznoXDtpn6
dqPFmbGUIdTkwAnqo5lzdC5jMaNBrDalJaH3gsOoOZCXnDbY14NTvRpxP6xdrfTPWVSzyVCFQxiX
g7NoYvumK4jDaamPTFpp4KVTOL5L5dLDG9I7BOMyNbERJZDUAE4oB6SmHm5i8vQBtyul4XktrCvH
rXuMMQNgvkEa937rUfJQ6tg2NEHec7QSMuLKeGxrlj0llsRdInu1j1K/ODuQQo1FJydRLwJdi55s
OEi7SiXlnW6adJZCSTlZEaWvrjNZjxx0Kb9/tct0ACBrbQGQORBVp/nPbzseLUDA3BwQtWxsIupJ
nqFb5vq6AjC+mxLCfEiq1oYVvL7P0fhXFhE5jpoR0ZPbwMzWzIdjo7e3tt6QCyv1Y+JM8RpLxmfN
L1YVwsxNPxKg7SF7m0FhP5is1XDq1vUqKhhaSuKpy1LowwEeZ7uu/TxjpWVFat3hI1zKLqP5lDeG
JE/XUjSqJ7a86NZkk+Fsff4Fg7PAW+H/hYlaWD8JbNbPc9ps6/5hTtMQ72mEiMIdRo4U9prN3q73
nAPyF+lHOyZomSvtofLEcHENw3sa3b48iRBClDuK6gvNnvHaQi7C3WGLYIuXqrwMoO03uq2hbThJ
BJPI0855XwNZrNxIENTnFcAqZXGV0HwRPSFL4o2J0hzbLBbqbYkDZW3lyZXrRtovAdTDlakNxUmL
02aH8P/YVc0csS3ttV95xpPoOueqNYgVxTOuy+F7p0TPtm8o2GQ5b1NUsAKPDu0pdJxnbuoBfas9
VtpYvZCAPnctyiE3lMWY4FmDrTRCLQrHW/BrR4jl0zGC+M0N3MXOohs1/co0ZxJtAdo08dgOKLET
bYV1RbOClsM941I4Q02LzxOpfrEqIxcyQB3K/kjSfAQnym0Xx4eQt0XR9KcmnWLEBh4H1yA1xbvd
6dFb6ZOYLy3NWeOEEnfFlIweDCcIfb5EtQMzJK+sttN2tsAb0sRTUS2F20UTdjx9eO+b4QkWdrXJ
OzvaWHWWbuyhApMWMDvJ0jYXZj1FCJ+2SzAf4QyUk00LaVf0zRrJMTpNSc4JHebi4DO/niPMPVh1
hz664xfd2w/eoPbg0/r9pHPDNqKx+VqGLVfBTKnhAlLbhrHIfUHBIsk7Z+kaWnEU8z27/7hypx/X
bzHfxDmFuZTHpWrW/CDFBvIeZCZdheHJnG/y5selHliGcTA+bvqY2waeD9z/lea2R2+eCZJ5OoBu
APc87QWehUBzT+yvjU1ZeM0lmweM+mPWkNzMeBjNI4j5MY1082CSzSNK9jGt+PPgouqQwxqv75Is
rFetza6iMzScgfAfI4/7Mf4YTp2Xu7ZyBtg00jgMtY0CZ5WgA+uENy4Cb0wQyHBeSnJcCwpoKY/O
+/ZsDXW8hWiIjcid562pmu7L2pKrVCvvNEA+u1LjBwZutrhDQLOWRcRNGe865MCCqzCN6cTOKVIP
F1bttzj0465chqyYg4XL67AMA934jCxqLzuWk2cPWtdjxWsAQ20eGZN5eEw+5sgEFN51mLRsChgy
LSzwS1K4TJ7yYwr15oG0ROfaVvOQ2s3jKooeYi8TbDmPstE81GbzeMs3OQ+6jLz1PPym8xgs54HY
nUdjWwvcL7kFF6aJk1c5D9DdPEpP81AN4ybfuh+T9jQP3eE8fnvzID5+zOQktU1I+Azq6M3iqp2H
92Ee49uPib6eh/t8HvOneeCPeUhnfsvf9hVSbPexGUjmJUE3rwvseXEgAJL+VTMF++E/6DO/PlC5
GyLTCMex2fj++ED16iYYrWF0t9nCuZ+ezKfqRXuq7tRNc4uXMj9p6a/FJf/PNvt/iFc1/+cjbhW8
F7N9+g9/WH9sOG+793q8e8dk0P62H5z/y7/7l//r/W/uSUno2nNW6T/vSS/v6QsBiPyP/hZp/PaR
37ekpiDF8nvF3A9bUkGah/UpG3q2p7Nk91toyiNfzHqUtT27IBf4w/c96ZynYsnveeSOsTlgkPkn
e1I+409vF2nbc3UKSgBaHhEu/Dc/vl2ixI0ak/q3DbeLOwkrYy7QxBVMdHDjaZl6j7FhY5z0vB0K
04gvJW02xCpJX06ZCVwu5h7T4zyOWUUp+7aRqsUB4ed7GMJMamky3PC4ltfcGZ09DmqslRg032r8
YBtyRTG32KFsX5sImZoGbQCNi3qI5BOOofCxLfPmuipqTLWdgLzBkKm7V84wuVApsNDAR4RQsItj
eEFJoGrsL5bWL+AQUyAy1esRCIELAvNJChgvUDvIg/DjoEqkJza0qwHabmC6lXSK1RZ7RlxpD3nG
XmWZVyyMqfEaQBVolqvluMjpSON5xVAWg/+n+kDzuEzC+823A8rIQ85m8Yunu6iigwNtr/Ri/0Ib
Ng4coSfYQKJKhjczNZUApUb8Y9GGZnTCFd4/EvulKRMCl3416BO3PjXeGKPRg59p1C+FnmXPmpk2
EIvSpjlxOjDvMKD3yzE17Edfp2mkNU3tgolAf9IKUEELSe5pT0xI3fb+PBjDKn+bC4acZSCH+RtP
zQ2xze3Q4XWwC7feFWxFjzpUeojnjN+vxGEAPjJaUgUIGZlv0vXYA1DgsE2o1ziJzIPulTjjuPKL
GY7iavBmAluywgDRij/WYCcRspLpG4UTu9EZSoQW07sZ3nVDBIEW8rtB+HOipQ1Yob+Mukm9UCEa
H9ToqGveUF3sc48tta3MepaHKTulsPZW/dAUq0Q3+hUtRnJH1Dt6LLnKrqYB5yqnTAqD0SHp6uIq
50KGhyQrsC22YPZCL9HXVEgFO+69AKIshm2hQfWnl1B/hkQ7HSAp+ueCUeZ6jHmj1oVyXtskHzb0
aDT7pBDhLsvdS1WpJZMlFUdxF56TZFC45evyoTQLf0NTi/USGd14xdXFWgYmRD3JBdsE5PJZ18sv
WTgvN5yB8HbVP8L8J74N3ZLaWsezo/tsULsaz3cpDO4x+GjKTeBMtKbn6QxqnEfyjpnezlvAc7oQ
bO+Z8aILvwfOdWNk8o4tmwTf1A7xIYUW99Q4unux2rhIVoVJGxUISQmvrxzmnhtYGuO9qPRql/Ce
utH58QGQaVufHYMXMVOZhAezQlqP+MmsGztzzZ1RV6mzGDOgF76joq/gactNrTLoLePgN6+YkIL5
l9L1Lk5ulMu4jXhQBFCzsHracjyHVhTeYuyXq3n4MeApMVqWQxWI1dgG0d0AS4+Q1oih3vRk/6WM
4vImiuD5jnpu3+BAiuD3mf3EZ0qrFdF64w5zgrNzpwpnPJbn/uJ6g3joMkftJNnjVy+NssvYshhh
HxFbr7y/o69cjU2TCIjBQiAfRfhi+CmtPxWOq5zqHMc5xVYF+VfPhL0wqfCrNgntG1sFGgynEPTN
bUlW8RQSI7z0maCJqrbFfZI15rHWKsZIfijyjE5kYHWWbI1YxwbWttO74DSp2Ljt/4u5M2tqG123
8F9J9cW5U0rjJ6l29a7anm2wMQkQyI3KDNE8z/r15xEJaUhIOt1w9mlfdHUIkWVZ+ob3XetZhSuW
QetXx6DC4puAW5hv1dHUizItq+MoLDUIz0O+sqhXHClBZO2SJAaEhVgqYa7XHPlIOBlcnLx1jwyl
CY4VKyQxCgOr0lMyoqwhscIE2CQiLCyBYu4AjsSnVuHK73S1UzOwtkLzNtnQmuduFMsaiPK+uGmH
lNZZLIMyJWcSbaCRs2G0NkHeEx9gBSmoUWiQAKilNFz6cUuVO/RJa9QoGa5aO9nJQUElVUFsPcu0
Lph4dqWsOsCNpyJgeW7w4M5LSinLgv9MlHZI3peNBtIG+Al4d/ukgeG0DbvYugk10FgtvrkFpa1h
k+NCPXJFrK7MCkZlOOThtmkMsm4Sp1p6sWEelfCXWPK64tixcxxBLFOnjEUJ8cB9MAC1q9s5SPBr
fI3pHNVbsdIIffjATmchrPpDIKJsyaMPSCoUWGtUCk3gGm711L8LysycixKYkEdBfNqkkk+ccL7x
JT1fGrWBCUPxT8gANGeGI6RTRUrMVT+4yRov0Wbct0HcFEQhVZHUX/YZJS/iAd3iVHV0jcKaK1EC
hRwwJNEZJdhuEcPYWqRedhnJvbom70Oh6uBfB1LTRhuVJSGkcrvGKOXqLZqPeugWlaM375RGD7Zd
I2WwMLJqV6gq5RHjY91lK7BAUPZK9pFlV9aI/ztlZ6XqMWKcwcIfiuN2IgqbrUhLVWWWgtc6UlFR
UjjLRoFOZzjRkkU3/1sjvVnmWrApQoeGnmP0pEYNnkxtUrGqPp74aQtkvYgOcR/FGxGJ+kqjLoVx
0ev9LWk1DaUmJQeIqEFiyquoWA55a7GWJyp0ajZdfRR7bhiDRSqQdPYDJdda0u4whjb+nCkeh61O
WjOLGcmNcC/V5HxKWck84KtlCneN7R/sZ1L2bpK0rE9MUbUnfuiVE7iW1syksTmx7RpSmKZuUd2e
8LFEyFDVB2dANXJKlnbVplPFabsLx/FubW73q8EQM5Y9W8OjzRiWeXBgQMzfUQnyofsZsYZSr+z4
UFD1ZPLfTlEQDleSi5XBNaOO9JjCHv1iGK7ktuqnml20WxMc23XJ1vqjyxtPXKWiYGbTYI5jyVxQ
ei/OU7NJVq6I5lFpQqko4nqfBY57AcctwwPUGp/IjI2oxerZQjUHg4SMKIn9VVS5xapNwEdMmqzI
aJUmjUzlUU/2zAHtkhCcZmcZ1rABWKRf+OCoN10pdZtctaiE5Lm8zmKjYkIyjeMBHgQ7VNUfSWZc
K8Ouhht2ffIKamY504zBWaAoJvwPlOqSPTKWovC8FyF9JwPyvdFiLkPTqZbGDHMyhFW2lTUOAupm
bXGHbZf1XMqtGHZirspEhjMQY7Fq45kupJlQ+1OJQuUmTVt9HWY9civaHAeD8Wxa6iwpDKIB/LmV
yIuswmmtDip6lMKyTvGZK8cuiL5FnJXONkG0Ta46PbOM1sMMkOTU8MGJuU19pKr9J0UpPX8CqkMm
vkkXAHUjChU0a8MJuvJmZ4epvkjcNj+qBtdbYiCcjMJLbWIjaDmrnKI67/U6mnZ+1+BP63ayC3sW
zw5sWlDqM6fpSILAMYf3GbA4W3gbbbHRYcXTuiv+UXPsx+ZwDfGrmzt4Wxa65ybH8OC0cZcNhl4X
NeTxLPPNReaF+tygdLkiRsrbwJQ1T7OGudypMxmxlxOeqIYZ7XqY5KcIKazjWE7CY3bzeCq9LDT2
PKGUOAAqFsfsQ+LTxFWNu0FG0q2DcEfopyo7o1YFkt/IuLM9x4bjbI8Gb89/rxV5TltO6BgV88S/
gt1XbRk2o3U+hO2MDfANO2F7ZSZBNHMhqO0qXbGudASA84TSdEI5J0CJ1msBzf4+B6Bd+Jq/TmMX
erpnZD2jBwxbd6AUECExWdmFKXDzmP07JwjKgVioepP6pjNL6BNskDb0Fy091pMu9i5TYTp7BHHh
VStb+YpwIh9LtrZEbxDOCW3OF6YvlHlcoBvvPSXdFWbATJc5LvZDjYYPNeBZbQuUDHFofJDZynCZ
LbTwNQMe68f00kt846OdROGGphQ3cFHqx5ZSoWYfXOTA2FZd79RVIwnXu6jntGC6G6dHoS985j3H
IvCY/NSxYs483oFCPaKRdS6qBueW5LDKjAWmKhZElOfXA5yw2B6x4XF06AAS75lRabRoLHlnslFj
JJKlGfB60sP8Ed2ftTe+39ZnIf22TVBgGm+CplkjRlWo6tTRXC1DedbFobNqMUHaMmKVjDjHtRnd
0tmxb12LsJAg5VAsYQmqaKPippdISIxwy5Fa42PvUlvENmQsyXOU/+kiGVoun97qJ5JhYQ32wmLf
1kkCZy7NrmVumF0dKg1IiwokhRrga1Owsfo4X1eV2VfYjmRv2rkoChzHL1kvBNEhVOyBj5Lhx0sG
74bNmLomPlWZIWbXJ41d5eeSNLTvwmbAV0mLWLlKzJQ0FdOuF7kvZyuj6+0QQ3+U2dOhi9n0VJay
L6y4mjpNOSutEF1lY9vhwsp6Wi52mwqCkvLGn2Yl3xd8wvCyT7qWO6sVCNUTaM5OvdUkbypyppSU
nBZRi5RMJusT4Zw4gO3jLrE5flZNu4ZwPdtXpyxP5U0oChnqUXyXt92qdfFMIAuaCqXx9z5T4iSM
kh7QnOkuer3ISbhKqzV01+oql9PmgFeaehXYjgsq4fYxybvOjcSaKZoQjVtPGwqDS74efU7Tk+Sv
IcqORaXHV6bl1KyNDGOdEjiyrDWJcD+776S5Eqk+vfrBQP+agK44ziEV40P2MS4gOjIAkSLxYKmf
WgunCCwUD70gapIcY7iPjvnRFhIGRQnA3UXGEmkOlsHeoTCKLnPquMvec/yVULXuIBKPtEsMYco+
qnvw53oynNLVazahMXSnUlm28FzbsJnS1lWxjJrDeqBS8c6O7eLg9o4PRqHNLjPmtxHKqq3NXo/n
QHgxllWqDOq6yghIrxQZXHGenlZGJaSx2FzcyYPbnEkgmM1J2eglovlUzNsaF+QEiLB1FZXEspql
+skPE3uDBcahO9z72p5Sp0z7TfMvGDiqaSGXtTfLJKPeduZAYBXuSVrlfXxZU7q/CQcz2ic87jBE
o5T0lsbYRUVBEOUwNqVJEQVgpcdquQ/RlJ2wuA7GOMK0XxWBylBD0GPzDtcoCEkor9E6E7G1DJWh
eB9krGEnLOHiVYx+dGazizkmh4Q+cpSU5wLPEKh004T8H7oXemD5S6dwNAtWcBOs24RIF6NE9hWz
PNvAyG0vm0FrzmxWoae12jKbENh1Eaudv7EbJbh2zZq5yGmHHah22p1hJrvHhR4o26QktMVTMKYY
QWSs5azp6BfkuKJBOwvj0OiSl+E50uQDirSQXGJz6D7oYWNSawlAuE7MSpfzuYsC+UiiYzrXUovd
bg7Bf4FYOdsyj2dXXudgETKJNh8ynY2BRZm1t9T0REOteC7M0NxYwL5JXW+MGXT3eIf0jSVWgCY9
n5hkKl+iSREzACPeiaN3pCvSLzYntE3FFbBqzKKlLE8qjEpHRCuw6vQDABxSredzM3eCfVAKl6/W
OqDDYQRDZjdQtCLijj04n0OZqgD6G1UDAoJ8hBg0KcSFPtYelJhvSakgZBZSFJ9rkZxv0rCsmznN
ZnEt6ewvuiFguWSHguBMJDJxRc0KLOyUiIkpn5rlrSS6974TRFsfHPDUUDvsYB0Znf9l0fY/sLRr
0nEEIIP0ChYVRRFttPz9uMh7fLhFCvtYB/vsAT7Xek37rcoKnIoqgyWqPkX9Wus13oL1oJVE1VJD
rPqI3qEZbyFJoXmgVE+VmGrs11qvNtJATIuSJ9ptKIc0Tx9q3vvPVA7K5cDJqJZ/+fMbMi32qZ9U
5e+/sdt7UuuV1JFjSWa1/k2PVSctOlTCyltFrRmPnRMbmWrG/DK1yLUaXXjJcGRKCfHLGoxhGUnl
BpOdV08aUQW7Nhs1MLCZjXgW0N9btQPwITJa82neh2o05faVpXnrsmaKgsSes9/wjprM9qdEaAzl
Cs1k8FEznO7EAXZ7awxZxQ43ZnySCqKJJmkY9Nz1gVPg56pb5yPcZAUOQBSnC7spSD9u9JjCkq0O
0oeWrYQyCU1Wr5OqZbUB2lhFbtlLibcjxVpbko9Dlcw0E/u9IRp3h4fQwIioBKRweipO/0qu9mqT
yfZZK5Vp+N7VGdYIl6baO7PTrdaDzWPv2XUzWQSQt51GP1GdEtR/PxgnFsWDTR0l5FYrKdZkOy+0
YJEPTXhN3QuctUJkDHuPwA2OgswWxwmqqoWgWrtRJL9pqKE5+Umnyy7brzLV3gfIFM85DwebZZEg
NC4x3qPE9TzXnal6KSA8Z7F3nkiJfOQqUh4uVVziCWVUrQAyXlmefhKxxd92uFjmWcumlF0skk84
TK6aLNm3w+M2kMR9CPJRdl/YsN2hVGFsr4ox9KALvC3CIridodnUw4Q4cNJgQV9Z1cpuJJU9QO61
V7LTxcW6aNmb7rREGpaNoQ1TR/HJ2yvzZEeWBRvJkJUS/Apis65tW3jNMoqiql3IKfZJrSmhwrdd
LcyVmyJt0nHpLNNGcc+JC6suQmqZ0TRxY/2MqYwVvpR6OsvjJOrmUjyy4FsUIWO8U8EXb8oGIb+6
tLWZ4u4wGqglm3FwZrMuk/SaIbdTRDXzvZggIRINanYURiS6i1D0ANCJ/chlnPWxy+2B7GLpV5K0
qcJM+Vgalr9F9gJty899uC2q4uX1KvSFX1FJ9om+UpU2XhF0Olw2rmYUfGvYTed2q3pndZbm20jx
1DXAHILKawfJHubTMEXkyyJObBt7BLAQo8dGposoOvLFGNqpQhP9tiK0vgOJo5OnQdOUooNKQPk+
Cn1cEzoQBUq1qvHJIrtQJzy+FPbcdjHJTntaRv1Jntg9AMqWgMBV5brqh8FMi9PaQghU0Cs+VpLS
EoseaV4w0zuwDLZHMYfc3dCaCFE6Bxti/Ts54crPa8WzoeQTHxPNO5CNIfjUSPoU1fGwMAkMW9NU
jQiEw+e5kJykmxemRrdAlyoZClxXK/i05PSgQTJX90xq0dxpEL7xp26fylHWT5OMeKIJbBZYCVUB
dMyJc2/v0Lddk9zunoS0PoBFCyRMIENVEq0K9L3N1OSQ7nng65wT9JvsIuOuLGc5nNBPRJGp7wqN
gLpJJFNajpwcxFAgDfAxOxVRYceWAvboXDgITQG1AaeZ9C6YCpekGSIgIGGAlw2JLOIhPXiRVByF
3aC6k05ByCdVCtnuuun0S+AZZrelayadNaRFpuyHSmPt8nygD2egHaV/tbNJK5/9UWSTvjroivuu
l9vMnWiqbx9ZTpqgE5WhpHZdqi1liSJcQ/bvwtSsbu4WKmlJqkdmAAz+Ya0HkNABixAXndLoqvuy
3nLS+kaHOHxJ1ymf26GdLEKoHdLMYKFJRBt7fBgxOVBTMNqMs2ENJKlGRxBrEYJDB+M3T7zsn5oE
gMyVzIb5Z1i2cTRWu+eID525KpzrDl7qUvb5lbSG+w8Ew/2oFnF13csINCcSxNAxXSWkYJWaY+hH
2RHQGdPKSaVoOUhxPEVM1J3BPdr3XqVcYUn3TlFW0c1RO/TtjjA6wqaadqVnkXskRBZy3YUP3CSC
SERTzVgShKR+yIuBJIvUT4mv8SXakNQYUb+Yuo7RtnKD5sYOffnawKtN9iBc/tDugpK0p6jmJgJn
UhcN+BZV8oNq5rITWqckWvgTqs/pWUq47iIKUrEXotPfk57AZoIi7z4t4Xa0xJtBZQlEc5ZLGcQK
3yKeUriWNaeR451liu9ceUIdAOZQayGXwkVJwvrOpjScyPEu6TMq444n9hjdRTHJeWb9iSbkcGtI
Wr3yfE/b+eqAg8FBCHFSRLmLHEiOgffItbl2YrcvZ9RXq/e9GvnndVQ3ewSDxg3PrrJXaI7d5aVX
Lgraj/GE+hggD6nVkWJUacWoFAZr4qMCgCA0hiawiPRpXFlozGparJPaioM1I6U3q5M4xkhPHnto
S8CoMpGhxNO7IyniwzIBs8R1yClMuOJsmAxEeh+KXOY5llp0PrJMypkP84p8rsg6q7waglVfI7Qj
ULgVizyEvudpakedld7ENIxamO2AcpIzhbl6IfQm2Ke6+sk0C4Jwe7cnbggOQnHW1VJ1jMbBxDdf
C2vdD6ZeoOXU2wv0jeldMUK4STOSHX8GcyCY1k1a3YaIIqb3S8HXVj78HzBiv5zis8qHr2vC8W/v
F4Nn6XfyiF/6pYfF5fMH+jUphYoG6lsZxf1J3Qs5fnaM6FD5VX179/tvWBUtHIWGPa5oI2I5v/zc
NN5iQ7ZAgSKVGF+f3+jRxfnRx//5J/teXvL9cZ6c+U1aJ9UoSyGzLHm8WSC38pvdxQ8++zdH+OOz
Q/DTDJVSKRKK+xfbg8eXwH7LPkawsB81IbxY27Ob+e9fgsNt7OP7KKvCv6meXIIvvsFvt1k/uBDf
HOfRhcA7COQdvC9G1/H19EJYKm5EBZuNzKbrH3YFgMe8+NNrb0E4oi2EA/zMpzctjJUE22l4++5f
/19Pwjdf32e11fr2999UbtBffBa+OcajW0B+y/YZd/G9AGr8nE+eBUt/i0CfXTQDwv0LrdM/605A
kvedE/wvPwfirQEZFP7Dl0Hv6UUwtbcW9QTYEMzf4+sfdxE0XYwYpSc1l79xESjg4KUEHn7/+mYw
4EYRgnETo/FffRx+Yej8OnlOPfzn93Orf1c+Uib+6S88zD/fH+DLvDI+MuPk8eQXR9TA50N/fq7G
P//7ydNyP/A/+suHieD+fb788y8f8Pu3fvJeD5/q4Ycr/644FDdEadwLKL+c5u4QMz//J7n1yFbZ
F4fbu/JJsQxZI7fnHyf0+29PTvfRXfDT4xd1crgBJvbcWxCk8hpvUZaH+OFM78crimUPf34W8fD1
/v3ZmVOJPxQPhxkPq9kq89NLL8jqUPTfCk816hqvcGQ//uGVhiujjZSaHytof+mabA5xXL/5n0Oc
/evN0QGHkv/kCilUT5koXvouR4ciYf0bHh4Odf9EjSXYhx/8/W/1iEch+ubAuo3Q+qUnfXwIS+9w
297dZQ8Huz/tMRzh4Qd//7S3h1uvf/4x/bxCeenpn9z6nP7Did4/RZ9n/ZceeF/f1jfeXVH0Tw4+
8owefvD3L8u+ToLD9cNx7s/6857lpWf97hAcygqOxpNjf14CvPTY7/0w9J8MWJpsGa9wb58dYj8i
Iuu2fnzWNC8EC4mXnvU9WuS5QfzLmuClx/9wV1ZvJneo8qOHkx2/T+KYlFc4++2BwZwBq3rKcEeY
or7CyLusA47+ZOs05q+o2ivMFz/MdXnhUM7Ef4gPyedUNf8mvSZXbV1ii7gtH19/EERkqL3CoP6f
ny0EMFHIyn0M2Etvo61P++DpcmA8ONizV/ief54C8MIv5C+F3L3wvcYYvfGrfvxNc5kwHWmvcJm2
h2RMS3jm4K8wyP0ZmvaFV+ZniL+XHvrr80Y99vuLo7/CfPinNLIXfgSSaw5V5Zff8c7+KBS99AH+
BYTVCz/Ehqngh4isV9iP/Km57IXn/6u6hhe+zfPj0RvmjTezH93JYykTkh0Dia4YbPKVkSX38zvi
uS3t1yLo9xvdh/ruc//s6S5+/I2b6O5Q/Pt/AQAA//8=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66675</xdr:colOff>
      <xdr:row>36</xdr:row>
      <xdr:rowOff>180975</xdr:rowOff>
    </xdr:from>
    <xdr:to>
      <xdr:col>5</xdr:col>
      <xdr:colOff>800100</xdr:colOff>
      <xdr:row>37</xdr:row>
      <xdr:rowOff>0</xdr:rowOff>
    </xdr:to>
    <xdr:cxnSp macro="">
      <xdr:nvCxnSpPr>
        <xdr:cNvPr id="2" name="Straight Connector 1">
          <a:extLst>
            <a:ext uri="{FF2B5EF4-FFF2-40B4-BE49-F238E27FC236}">
              <a16:creationId xmlns:a16="http://schemas.microsoft.com/office/drawing/2014/main" id="{91EAD6E5-E48C-40E2-8AEB-DE81CB508B29}"/>
            </a:ext>
          </a:extLst>
        </xdr:cNvPr>
        <xdr:cNvCxnSpPr/>
      </xdr:nvCxnSpPr>
      <xdr:spPr>
        <a:xfrm>
          <a:off x="3714750" y="7038975"/>
          <a:ext cx="1343025" cy="95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9525</xdr:colOff>
      <xdr:row>12</xdr:row>
      <xdr:rowOff>85725</xdr:rowOff>
    </xdr:from>
    <xdr:to>
      <xdr:col>11</xdr:col>
      <xdr:colOff>742950</xdr:colOff>
      <xdr:row>18</xdr:row>
      <xdr:rowOff>161925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2EB18B93-CA53-2180-FDDA-BD18D4A9922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229725" y="2371725"/>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238125</xdr:colOff>
      <xdr:row>1</xdr:row>
      <xdr:rowOff>61911</xdr:rowOff>
    </xdr:from>
    <xdr:to>
      <xdr:col>15</xdr:col>
      <xdr:colOff>542925</xdr:colOff>
      <xdr:row>19</xdr:row>
      <xdr:rowOff>66674</xdr:rowOff>
    </xdr:to>
    <xdr:graphicFrame macro="">
      <xdr:nvGraphicFramePr>
        <xdr:cNvPr id="2" name="Chart 1">
          <a:extLst>
            <a:ext uri="{FF2B5EF4-FFF2-40B4-BE49-F238E27FC236}">
              <a16:creationId xmlns:a16="http://schemas.microsoft.com/office/drawing/2014/main" id="{20C8D013-C65E-5B54-584C-9FB3C211D2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9525</xdr:colOff>
      <xdr:row>1</xdr:row>
      <xdr:rowOff>76199</xdr:rowOff>
    </xdr:from>
    <xdr:to>
      <xdr:col>20</xdr:col>
      <xdr:colOff>9525</xdr:colOff>
      <xdr:row>7</xdr:row>
      <xdr:rowOff>19050</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74BDCF9E-3408-6AB7-83A0-1698679C93D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477625" y="266699"/>
              <a:ext cx="1828800" cy="1085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190500</xdr:colOff>
      <xdr:row>2</xdr:row>
      <xdr:rowOff>0</xdr:rowOff>
    </xdr:from>
    <xdr:to>
      <xdr:col>5</xdr:col>
      <xdr:colOff>190500</xdr:colOff>
      <xdr:row>7</xdr:row>
      <xdr:rowOff>66675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B720054B-4E40-895A-1C1C-3ADC5F70F0E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14600" y="381000"/>
              <a:ext cx="1828800" cy="101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428625</xdr:colOff>
      <xdr:row>1</xdr:row>
      <xdr:rowOff>190499</xdr:rowOff>
    </xdr:from>
    <xdr:to>
      <xdr:col>12</xdr:col>
      <xdr:colOff>552450</xdr:colOff>
      <xdr:row>9</xdr:row>
      <xdr:rowOff>47624</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2A6184CE-61D2-EB09-E988-B9A9AE94DCB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581525" y="380999"/>
              <a:ext cx="4391025" cy="13811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12</xdr:col>
      <xdr:colOff>104937</xdr:colOff>
      <xdr:row>1</xdr:row>
      <xdr:rowOff>176212</xdr:rowOff>
    </xdr:from>
    <xdr:to>
      <xdr:col>18</xdr:col>
      <xdr:colOff>32565</xdr:colOff>
      <xdr:row>17</xdr:row>
      <xdr:rowOff>113975</xdr:rowOff>
    </xdr:to>
    <xdr:graphicFrame macro="">
      <xdr:nvGraphicFramePr>
        <xdr:cNvPr id="2" name="Chart 1">
          <a:extLst>
            <a:ext uri="{FF2B5EF4-FFF2-40B4-BE49-F238E27FC236}">
              <a16:creationId xmlns:a16="http://schemas.microsoft.com/office/drawing/2014/main" id="{9EBAD6A5-22EA-EA65-617E-A4DE5BD3C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1336756</xdr:colOff>
      <xdr:row>24</xdr:row>
      <xdr:rowOff>85645</xdr:rowOff>
    </xdr:from>
    <xdr:to>
      <xdr:col>8</xdr:col>
      <xdr:colOff>201897</xdr:colOff>
      <xdr:row>39</xdr:row>
      <xdr:rowOff>20191</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5ACC333C-B0AC-3DAF-1323-A5EDE4F312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803731" y="4657645"/>
              <a:ext cx="4570616" cy="279204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57150</xdr:colOff>
      <xdr:row>0</xdr:row>
      <xdr:rowOff>14287</xdr:rowOff>
    </xdr:from>
    <xdr:to>
      <xdr:col>15</xdr:col>
      <xdr:colOff>95250</xdr:colOff>
      <xdr:row>13</xdr:row>
      <xdr:rowOff>0</xdr:rowOff>
    </xdr:to>
    <xdr:graphicFrame macro="">
      <xdr:nvGraphicFramePr>
        <xdr:cNvPr id="2" name="Chart 1">
          <a:extLst>
            <a:ext uri="{FF2B5EF4-FFF2-40B4-BE49-F238E27FC236}">
              <a16:creationId xmlns:a16="http://schemas.microsoft.com/office/drawing/2014/main" id="{E4F98ADA-17BB-7669-8CF4-BE6E413A2B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c" refreshedDate="46002.908052893516" createdVersion="8" refreshedVersion="8" minRefreshableVersion="3" recordCount="23" xr:uid="{30DF80B4-9ED8-4F92-80A9-CAA6F4FFAE28}">
  <cacheSource type="worksheet">
    <worksheetSource ref="A1:I24" sheet="Pivot Table"/>
  </cacheSource>
  <cacheFields count="9">
    <cacheField name="Roll_No" numFmtId="0">
      <sharedItems containsSemiMixedTypes="0" containsString="0" containsNumber="1" containsInteger="1" minValue="18001" maxValue="18023" count="23">
        <n v="18001"/>
        <n v="18002"/>
        <n v="18003"/>
        <n v="18004"/>
        <n v="18005"/>
        <n v="18006"/>
        <n v="18007"/>
        <n v="18008"/>
        <n v="18009"/>
        <n v="18010"/>
        <n v="18011"/>
        <n v="18012"/>
        <n v="18013"/>
        <n v="18014"/>
        <n v="18015"/>
        <n v="18016"/>
        <n v="18017"/>
        <n v="18018"/>
        <n v="18019"/>
        <n v="18020"/>
        <n v="18021"/>
        <n v="18022"/>
        <n v="18023"/>
      </sharedItems>
    </cacheField>
    <cacheField name="Name" numFmtId="0">
      <sharedItems count="23">
        <s v="JAY PRAKASH"/>
        <s v="ANOOP KUMAR"/>
        <s v="LAREB KHAN"/>
        <s v="PAVAN PRATAP KUMAR"/>
        <s v="SAHIL KHAN"/>
        <s v="SHAIWAM"/>
        <s v="BABLU KUMAR"/>
        <s v="JAKELI KHAN"/>
        <s v="PRACHI SINGH"/>
        <s v="SANDEEP KUMAR"/>
        <s v="ABHISHEK SINGH"/>
        <s v="PARAKJ KUMAR"/>
        <s v="ARUN KUMAR RAJ"/>
        <s v="MNO. KAUSEN RAZA"/>
        <s v="NAND LAL"/>
        <s v="ASHOK KUMAR"/>
        <s v="GAYATRI DEVI"/>
        <s v="JANARDAN PAL"/>
        <s v="APOORVA VERMA"/>
        <s v="SANJAY KUMAR"/>
        <s v="SUNEL KUMAR"/>
        <s v="AJAY KUMAR"/>
        <s v="DEEPAK KUMAR"/>
      </sharedItems>
    </cacheField>
    <cacheField name="Father" numFmtId="0">
      <sharedItems/>
    </cacheField>
    <cacheField name="Gender" numFmtId="0">
      <sharedItems count="2">
        <s v="Male"/>
        <s v="Female"/>
      </sharedItems>
    </cacheField>
    <cacheField name="Course" numFmtId="0">
      <sharedItems count="9">
        <s v="ADSA-06 MONTHS"/>
        <s v="ADCA-06 MONTHS"/>
        <s v="TDA-06 MONTHS"/>
        <s v="CSA-06 MONTHS"/>
        <s v="GDA-06 MONTHS"/>
        <s v="ADCA-12 MONTHS"/>
        <s v="CSA-12 MONTHS"/>
        <s v="ADSA-12 MONTHS"/>
        <s v="TDA-12 MONTHS"/>
      </sharedItems>
    </cacheField>
    <cacheField name="Admission date" numFmtId="0">
      <sharedItems/>
    </cacheField>
    <cacheField name="Total Fee" numFmtId="0">
      <sharedItems containsSemiMixedTypes="0" containsString="0" containsNumber="1" containsInteger="1" minValue="4400" maxValue="5500"/>
    </cacheField>
    <cacheField name="Deposit Fee" numFmtId="0">
      <sharedItems containsSemiMixedTypes="0" containsString="0" containsNumber="1" containsInteger="1" minValue="1576" maxValue="4938"/>
    </cacheField>
    <cacheField name="State" numFmtId="0">
      <sharedItems count="6">
        <s v="Madhya Pradesh"/>
        <s v="Chhattisgarh"/>
        <s v="UP"/>
        <s v="Punjab"/>
        <s v="Odisha"/>
        <s v="Rajasthan"/>
      </sharedItems>
    </cacheField>
  </cacheFields>
  <extLst>
    <ext xmlns:x14="http://schemas.microsoft.com/office/spreadsheetml/2009/9/main" uri="{725AE2AE-9491-48be-B2B4-4EB974FC3084}">
      <x14:pivotCacheDefinition pivotCacheId="3751057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c" refreshedDate="46003.913766087964" createdVersion="8" refreshedVersion="8" minRefreshableVersion="3" recordCount="132" xr:uid="{0E65DFB0-B1DB-45FF-BB2A-0C637735DDCF}">
  <cacheSource type="worksheet">
    <worksheetSource ref="A1:E133" sheet="income and expense data"/>
  </cacheSource>
  <cacheFields count="5">
    <cacheField name="SN" numFmtId="0">
      <sharedItems containsSemiMixedTypes="0" containsString="0" containsNumber="1" containsInteger="1" minValue="1" maxValue="132"/>
    </cacheField>
    <cacheField name="Category" numFmtId="0">
      <sharedItems count="2">
        <s v="Income"/>
        <s v="Expence"/>
      </sharedItems>
    </cacheField>
    <cacheField name="Sub_cate" numFmtId="0">
      <sharedItems count="11">
        <s v="Business Income"/>
        <s v="Consulting"/>
        <s v="Workshop"/>
        <s v="Online"/>
        <s v="Stationary"/>
        <s v="Transportation"/>
        <s v="Electricity"/>
        <s v="Water"/>
        <s v="Internet"/>
        <s v="Rent"/>
        <s v="Other"/>
      </sharedItems>
    </cacheField>
    <cacheField name="Amount" numFmtId="0">
      <sharedItems containsSemiMixedTypes="0" containsString="0" containsNumber="1" containsInteger="1" minValue="0" maxValue="32000"/>
    </cacheField>
    <cacheField name="Date" numFmtId="14">
      <sharedItems containsSemiMixedTypes="0" containsNonDate="0" containsDate="1" containsString="0" minDate="2025-01-01T00:00:00" maxDate="2025-12-12T00:00:00" count="132">
        <d v="2025-01-01T00:00:00"/>
        <d v="2025-01-02T00:00:00"/>
        <d v="2025-01-03T00:00:00"/>
        <d v="2025-01-04T00:00:00"/>
        <d v="2025-01-05T00:00:00"/>
        <d v="2025-01-06T00:00:00"/>
        <d v="2025-01-07T00:00:00"/>
        <d v="2025-01-08T00:00:00"/>
        <d v="2025-01-09T00:00:00"/>
        <d v="2025-01-10T00:00:00"/>
        <d v="2025-01-11T00:00:00"/>
        <d v="2025-02-01T00:00:00"/>
        <d v="2025-02-02T00:00:00"/>
        <d v="2025-02-03T00:00:00"/>
        <d v="2025-02-04T00:00:00"/>
        <d v="2025-02-05T00:00:00"/>
        <d v="2025-02-06T00:00:00"/>
        <d v="2025-02-07T00:00:00"/>
        <d v="2025-02-08T00:00:00"/>
        <d v="2025-02-09T00:00:00"/>
        <d v="2025-02-10T00:00:00"/>
        <d v="2025-02-11T00:00:00"/>
        <d v="2025-03-01T00:00:00"/>
        <d v="2025-03-02T00:00:00"/>
        <d v="2025-03-03T00:00:00"/>
        <d v="2025-03-04T00:00:00"/>
        <d v="2025-03-05T00:00:00"/>
        <d v="2025-03-06T00:00:00"/>
        <d v="2025-03-07T00:00:00"/>
        <d v="2025-03-08T00:00:00"/>
        <d v="2025-03-09T00:00:00"/>
        <d v="2025-03-10T00:00:00"/>
        <d v="2025-03-11T00:00:00"/>
        <d v="2025-04-01T00:00:00"/>
        <d v="2025-04-02T00:00:00"/>
        <d v="2025-04-03T00:00:00"/>
        <d v="2025-04-04T00:00:00"/>
        <d v="2025-04-05T00:00:00"/>
        <d v="2025-04-06T00:00:00"/>
        <d v="2025-04-07T00:00:00"/>
        <d v="2025-04-08T00:00:00"/>
        <d v="2025-04-09T00:00:00"/>
        <d v="2025-04-10T00:00:00"/>
        <d v="2025-04-11T00:00:00"/>
        <d v="2025-05-01T00:00:00"/>
        <d v="2025-05-02T00:00:00"/>
        <d v="2025-05-03T00:00:00"/>
        <d v="2025-05-04T00:00:00"/>
        <d v="2025-05-05T00:00:00"/>
        <d v="2025-05-06T00:00:00"/>
        <d v="2025-05-07T00:00:00"/>
        <d v="2025-05-08T00:00:00"/>
        <d v="2025-05-09T00:00:00"/>
        <d v="2025-05-10T00:00:00"/>
        <d v="2025-05-11T00:00:00"/>
        <d v="2025-06-01T00:00:00"/>
        <d v="2025-06-02T00:00:00"/>
        <d v="2025-06-03T00:00:00"/>
        <d v="2025-06-04T00:00:00"/>
        <d v="2025-06-05T00:00:00"/>
        <d v="2025-06-06T00:00:00"/>
        <d v="2025-06-07T00:00:00"/>
        <d v="2025-06-08T00:00:00"/>
        <d v="2025-06-09T00:00:00"/>
        <d v="2025-06-10T00:00:00"/>
        <d v="2025-06-11T00:00:00"/>
        <d v="2025-07-01T00:00:00"/>
        <d v="2025-07-02T00:00:00"/>
        <d v="2025-07-03T00:00:00"/>
        <d v="2025-07-04T00:00:00"/>
        <d v="2025-07-05T00:00:00"/>
        <d v="2025-07-06T00:00:00"/>
        <d v="2025-07-07T00:00:00"/>
        <d v="2025-07-08T00:00:00"/>
        <d v="2025-07-09T00:00:00"/>
        <d v="2025-07-10T00:00:00"/>
        <d v="2025-07-11T00:00:00"/>
        <d v="2025-08-01T00:00:00"/>
        <d v="2025-08-02T00:00:00"/>
        <d v="2025-08-03T00:00:00"/>
        <d v="2025-08-04T00:00:00"/>
        <d v="2025-08-05T00:00:00"/>
        <d v="2025-08-06T00:00:00"/>
        <d v="2025-08-07T00:00:00"/>
        <d v="2025-08-08T00:00:00"/>
        <d v="2025-08-09T00:00:00"/>
        <d v="2025-08-10T00:00:00"/>
        <d v="2025-08-11T00:00:00"/>
        <d v="2025-09-01T00:00:00"/>
        <d v="2025-09-02T00:00:00"/>
        <d v="2025-09-03T00:00:00"/>
        <d v="2025-09-04T00:00:00"/>
        <d v="2025-09-05T00:00:00"/>
        <d v="2025-09-06T00:00:00"/>
        <d v="2025-09-07T00:00:00"/>
        <d v="2025-09-08T00:00:00"/>
        <d v="2025-09-09T00:00:00"/>
        <d v="2025-09-10T00:00:00"/>
        <d v="2025-09-11T00:00:00"/>
        <d v="2025-10-01T00:00:00"/>
        <d v="2025-10-02T00:00:00"/>
        <d v="2025-10-03T00:00:00"/>
        <d v="2025-10-04T00:00:00"/>
        <d v="2025-10-05T00:00:00"/>
        <d v="2025-10-06T00:00:00"/>
        <d v="2025-10-07T00:00:00"/>
        <d v="2025-10-08T00:00:00"/>
        <d v="2025-10-09T00:00:00"/>
        <d v="2025-10-10T00:00:00"/>
        <d v="2025-10-11T00:00:00"/>
        <d v="2025-11-01T00:00:00"/>
        <d v="2025-11-02T00:00:00"/>
        <d v="2025-11-03T00:00:00"/>
        <d v="2025-11-04T00:00:00"/>
        <d v="2025-11-05T00:00:00"/>
        <d v="2025-11-06T00:00:00"/>
        <d v="2025-11-07T00:00:00"/>
        <d v="2025-11-08T00:00:00"/>
        <d v="2025-11-09T00:00:00"/>
        <d v="2025-11-10T00:00:00"/>
        <d v="2025-11-11T00:00:00"/>
        <d v="2025-12-01T00:00:00"/>
        <d v="2025-12-02T00:00:00"/>
        <d v="2025-12-03T00:00:00"/>
        <d v="2025-12-04T00:00:00"/>
        <d v="2025-12-05T00:00:00"/>
        <d v="2025-12-06T00:00:00"/>
        <d v="2025-12-07T00:00:00"/>
        <d v="2025-12-08T00:00:00"/>
        <d v="2025-12-09T00:00:00"/>
        <d v="2025-12-10T00:00:00"/>
        <d v="2025-12-11T00:00:00"/>
      </sharedItems>
    </cacheField>
  </cacheFields>
  <extLst>
    <ext xmlns:x14="http://schemas.microsoft.com/office/spreadsheetml/2009/9/main" uri="{725AE2AE-9491-48be-B2B4-4EB974FC3084}">
      <x14:pivotCacheDefinition pivotCacheId="50705571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c" refreshedDate="46004.892678819444" createdVersion="8" refreshedVersion="8" minRefreshableVersion="3" recordCount="23" xr:uid="{720A498B-F958-48B5-A3AE-33A8C35E4005}">
  <cacheSource type="worksheet">
    <worksheetSource ref="A1:I24" sheet="Pivot table 3"/>
  </cacheSource>
  <cacheFields count="10">
    <cacheField name="Roll_No" numFmtId="0">
      <sharedItems containsSemiMixedTypes="0" containsString="0" containsNumber="1" containsInteger="1" minValue="18001" maxValue="18023"/>
    </cacheField>
    <cacheField name="Name" numFmtId="0">
      <sharedItems/>
    </cacheField>
    <cacheField name="Father" numFmtId="0">
      <sharedItems/>
    </cacheField>
    <cacheField name="Gender" numFmtId="0">
      <sharedItems/>
    </cacheField>
    <cacheField name="Course" numFmtId="0">
      <sharedItems count="9">
        <s v="ADSA-06 MONTHS"/>
        <s v="ADCA-06 MONTHS"/>
        <s v="TDA-06 MONTHS"/>
        <s v="CSA-06 MONTHS"/>
        <s v="GDA-06 MONTHS"/>
        <s v="ADCA-12 MONTHS"/>
        <s v="CSA-12 MONTHS"/>
        <s v="ADSA-12 MONTHS"/>
        <s v="TDA-12 MONTHS"/>
      </sharedItems>
    </cacheField>
    <cacheField name="Admission date" numFmtId="0">
      <sharedItems/>
    </cacheField>
    <cacheField name="Total Fee" numFmtId="0">
      <sharedItems containsSemiMixedTypes="0" containsString="0" containsNumber="1" containsInteger="1" minValue="4400" maxValue="5500"/>
    </cacheField>
    <cacheField name="Deposit Fee" numFmtId="0">
      <sharedItems containsSemiMixedTypes="0" containsString="0" containsNumber="1" containsInteger="1" minValue="1576" maxValue="4938"/>
    </cacheField>
    <cacheField name="State" numFmtId="0">
      <sharedItems count="6">
        <s v="Madhya Pradesh"/>
        <s v="Chhattisgarh"/>
        <s v="UP"/>
        <s v="Punjab"/>
        <s v="Odisha"/>
        <s v="Rajasthan"/>
      </sharedItems>
      <fieldGroup par="9"/>
    </cacheField>
    <cacheField name="State2" numFmtId="0" databaseField="0">
      <fieldGroup base="8">
        <discretePr count="6">
          <x v="0"/>
          <x v="0"/>
          <x v="1"/>
          <x v="1"/>
          <x v="0"/>
          <x v="1"/>
        </discretePr>
        <groupItems count="2">
          <s v="Group1"/>
          <s v="Group2"/>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c" refreshedDate="46004.92507928241" createdVersion="8" refreshedVersion="8" minRefreshableVersion="3" recordCount="132" xr:uid="{D4C3083E-10B2-4933-B82E-4B7469ED53C7}">
  <cacheSource type="worksheet">
    <worksheetSource ref="A1:E133" sheet="pivot map chart income and expe"/>
  </cacheSource>
  <cacheFields count="5">
    <cacheField name="SN" numFmtId="0">
      <sharedItems containsSemiMixedTypes="0" containsString="0" containsNumber="1" containsInteger="1" minValue="1" maxValue="132"/>
    </cacheField>
    <cacheField name="Category" numFmtId="0">
      <sharedItems count="2">
        <s v="Income"/>
        <s v="Expence"/>
      </sharedItems>
    </cacheField>
    <cacheField name="Sub_cate" numFmtId="0">
      <sharedItems count="11">
        <s v="Business Income"/>
        <s v="Consulting"/>
        <s v="Workshop"/>
        <s v="Online"/>
        <s v="Stationary"/>
        <s v="Transportation"/>
        <s v="Electricity"/>
        <s v="Water"/>
        <s v="Internet"/>
        <s v="Rent"/>
        <s v="Other"/>
      </sharedItems>
    </cacheField>
    <cacheField name="Amount" numFmtId="0">
      <sharedItems containsSemiMixedTypes="0" containsString="0" containsNumber="1" containsInteger="1" minValue="0" maxValue="32000"/>
    </cacheField>
    <cacheField name="Date" numFmtId="14">
      <sharedItems containsSemiMixedTypes="0" containsNonDate="0" containsDate="1" containsString="0" minDate="2025-01-01T00:00:00" maxDate="2025-12-12T00:00:00"/>
    </cacheField>
  </cacheFields>
  <extLst>
    <ext xmlns:x14="http://schemas.microsoft.com/office/spreadsheetml/2009/9/main" uri="{725AE2AE-9491-48be-B2B4-4EB974FC3084}">
      <x14:pivotCacheDefinition pivotCacheId="913657626"/>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c" refreshedDate="46004.941477083332" createdVersion="8" refreshedVersion="8" minRefreshableVersion="3" recordCount="23" xr:uid="{5098C625-6C55-4DEE-85FA-23DAC7C66168}">
  <cacheSource type="worksheet">
    <worksheetSource ref="A1:I24" sheet="Pivot mapchart course data"/>
  </cacheSource>
  <cacheFields count="9">
    <cacheField name="Roll_No" numFmtId="0">
      <sharedItems containsSemiMixedTypes="0" containsString="0" containsNumber="1" containsInteger="1" minValue="18001" maxValue="18023"/>
    </cacheField>
    <cacheField name="Name" numFmtId="0">
      <sharedItems/>
    </cacheField>
    <cacheField name="Father" numFmtId="0">
      <sharedItems/>
    </cacheField>
    <cacheField name="Gender" numFmtId="0">
      <sharedItems/>
    </cacheField>
    <cacheField name="Course" numFmtId="0">
      <sharedItems count="9">
        <s v="ADSA-06 MONTHS"/>
        <s v="ADCA-06 MONTHS"/>
        <s v="TDA-06 MONTHS"/>
        <s v="CSA-06 MONTHS"/>
        <s v="GDA-06 MONTHS"/>
        <s v="ADCA-12 MONTHS"/>
        <s v="CSA-12 MONTHS"/>
        <s v="ADSA-12 MONTHS"/>
        <s v="TDA-12 MONTHS"/>
      </sharedItems>
    </cacheField>
    <cacheField name="Admission date" numFmtId="0">
      <sharedItems/>
    </cacheField>
    <cacheField name="Total Fee" numFmtId="0">
      <sharedItems containsSemiMixedTypes="0" containsString="0" containsNumber="1" containsInteger="1" minValue="4400" maxValue="5500"/>
    </cacheField>
    <cacheField name="Deposit Fee" numFmtId="0">
      <sharedItems containsSemiMixedTypes="0" containsString="0" containsNumber="1" containsInteger="1" minValue="1576" maxValue="4938"/>
    </cacheField>
    <cacheField name="State" numFmtId="0">
      <sharedItems count="6">
        <s v="Madhya Pradesh"/>
        <s v="Chhattisgarh"/>
        <s v="UP"/>
        <s v="Punjab"/>
        <s v="Odisha"/>
        <s v="Rajasthan"/>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 refreshedDate="46007.493608449076" backgroundQuery="1" createdVersion="8" refreshedVersion="8" minRefreshableVersion="3" recordCount="0" supportSubquery="1" supportAdvancedDrill="1" xr:uid="{2F6E619D-B693-46BF-97C2-C2E73397831A}">
  <cacheSource type="external" connectionId="1"/>
  <cacheFields count="4">
    <cacheField name="[upciss_std_data_table_1].[Roll_No].[Roll_No]" caption="Roll_No" numFmtId="0" hierarchy="1" level="1">
      <sharedItems containsSemiMixedTypes="0" containsString="0" containsNumber="1" containsInteger="1" minValue="18016" maxValue="18023" count="8">
        <n v="18016"/>
        <n v="18017"/>
        <n v="18018"/>
        <n v="18019"/>
        <n v="18020"/>
        <n v="18021"/>
        <n v="18022"/>
        <n v="18023"/>
      </sharedItems>
      <extLst>
        <ext xmlns:x15="http://schemas.microsoft.com/office/spreadsheetml/2010/11/main" uri="{4F2E5C28-24EA-4eb8-9CBF-B6C8F9C3D259}">
          <x15:cachedUniqueNames>
            <x15:cachedUniqueName index="0" name="[upciss_std_data_table_1].[Roll_No].&amp;[18016]"/>
            <x15:cachedUniqueName index="1" name="[upciss_std_data_table_1].[Roll_No].&amp;[18017]"/>
            <x15:cachedUniqueName index="2" name="[upciss_std_data_table_1].[Roll_No].&amp;[18018]"/>
            <x15:cachedUniqueName index="3" name="[upciss_std_data_table_1].[Roll_No].&amp;[18019]"/>
            <x15:cachedUniqueName index="4" name="[upciss_std_data_table_1].[Roll_No].&amp;[18020]"/>
            <x15:cachedUniqueName index="5" name="[upciss_std_data_table_1].[Roll_No].&amp;[18021]"/>
            <x15:cachedUniqueName index="6" name="[upciss_std_data_table_1].[Roll_No].&amp;[18022]"/>
            <x15:cachedUniqueName index="7" name="[upciss_std_data_table_1].[Roll_No].&amp;[18023]"/>
          </x15:cachedUniqueNames>
        </ext>
      </extLst>
    </cacheField>
    <cacheField name="[Measures].[Sum of Total Fee]" caption="Sum of Total Fee" numFmtId="0" hierarchy="16" level="32767"/>
    <cacheField name="[upciss_std_data_table_1].[Name].[Name]" caption="Name" numFmtId="0" hierarchy="2" level="1">
      <sharedItems count="8">
        <s v="ASHOK KUMAR"/>
        <s v="GAYATRI DEVI"/>
        <s v="JANARDAN PAL"/>
        <s v="APOORVA VERMA"/>
        <s v="SANJAY KUMAR"/>
        <s v="SUNEL KUMAR"/>
        <s v="AJAY KUMAR"/>
        <s v="DEEPAK KUMAR"/>
      </sharedItems>
    </cacheField>
    <cacheField name="[upciss_std_data_table_2].[Course].[Course]" caption="Course" numFmtId="0" hierarchy="9" level="1">
      <sharedItems containsSemiMixedTypes="0" containsNonDate="0" containsString="0"/>
    </cacheField>
  </cacheFields>
  <cacheHierarchies count="17">
    <cacheHierarchy uniqueName="[upciss_std_data_table_1].[SN]" caption="SN" attribute="1" defaultMemberUniqueName="[upciss_std_data_table_1].[SN].[All]" allUniqueName="[upciss_std_data_table_1].[SN].[All]" dimensionUniqueName="[upciss_std_data_table_1]" displayFolder="" count="0" memberValueDatatype="20" unbalanced="0"/>
    <cacheHierarchy uniqueName="[upciss_std_data_table_1].[Roll_No]" caption="Roll_No" attribute="1" defaultMemberUniqueName="[upciss_std_data_table_1].[Roll_No].[All]" allUniqueName="[upciss_std_data_table_1].[Roll_No].[All]" dimensionUniqueName="[upciss_std_data_table_1]" displayFolder="" count="2" memberValueDatatype="20" unbalanced="0">
      <fieldsUsage count="2">
        <fieldUsage x="-1"/>
        <fieldUsage x="0"/>
      </fieldsUsage>
    </cacheHierarchy>
    <cacheHierarchy uniqueName="[upciss_std_data_table_1].[Name]" caption="Name" attribute="1" defaultMemberUniqueName="[upciss_std_data_table_1].[Name].[All]" allUniqueName="[upciss_std_data_table_1].[Name].[All]" dimensionUniqueName="[upciss_std_data_table_1]" displayFolder="" count="2" memberValueDatatype="130" unbalanced="0">
      <fieldsUsage count="2">
        <fieldUsage x="-1"/>
        <fieldUsage x="2"/>
      </fieldsUsage>
    </cacheHierarchy>
    <cacheHierarchy uniqueName="[upciss_std_data_table_1].[Father]" caption="Father" attribute="1" defaultMemberUniqueName="[upciss_std_data_table_1].[Father].[All]" allUniqueName="[upciss_std_data_table_1].[Father].[All]" dimensionUniqueName="[upciss_std_data_table_1]" displayFolder="" count="0" memberValueDatatype="130" unbalanced="0"/>
    <cacheHierarchy uniqueName="[upciss_std_data_table_1].[Gender]" caption="Gender" attribute="1" defaultMemberUniqueName="[upciss_std_data_table_1].[Gender].[All]" allUniqueName="[upciss_std_data_table_1].[Gender].[All]" dimensionUniqueName="[upciss_std_data_table_1]" displayFolder="" count="0" memberValueDatatype="130" unbalanced="0"/>
    <cacheHierarchy uniqueName="[upciss_std_data_table_1].[Admission date]" caption="Admission date" attribute="1" defaultMemberUniqueName="[upciss_std_data_table_1].[Admission date].[All]" allUniqueName="[upciss_std_data_table_1].[Admission date].[All]" dimensionUniqueName="[upciss_std_data_table_1]" displayFolder="" count="0" memberValueDatatype="130" unbalanced="0"/>
    <cacheHierarchy uniqueName="[upciss_std_data_table_1].[State]" caption="State" attribute="1" defaultMemberUniqueName="[upciss_std_data_table_1].[State].[All]" allUniqueName="[upciss_std_data_table_1].[State].[All]" dimensionUniqueName="[upciss_std_data_table_1]" displayFolder="" count="0" memberValueDatatype="130" unbalanced="0"/>
    <cacheHierarchy uniqueName="[upciss_std_data_table_2].[SN]" caption="SN" attribute="1" defaultMemberUniqueName="[upciss_std_data_table_2].[SN].[All]" allUniqueName="[upciss_std_data_table_2].[SN].[All]" dimensionUniqueName="[upciss_std_data_table_2]" displayFolder="" count="0" memberValueDatatype="20" unbalanced="0"/>
    <cacheHierarchy uniqueName="[upciss_std_data_table_2].[Roll_No]" caption="Roll_No" attribute="1" defaultMemberUniqueName="[upciss_std_data_table_2].[Roll_No].[All]" allUniqueName="[upciss_std_data_table_2].[Roll_No].[All]" dimensionUniqueName="[upciss_std_data_table_2]" displayFolder="" count="0" memberValueDatatype="20" unbalanced="0"/>
    <cacheHierarchy uniqueName="[upciss_std_data_table_2].[Course]" caption="Course" attribute="1" defaultMemberUniqueName="[upciss_std_data_table_2].[Course].[All]" allUniqueName="[upciss_std_data_table_2].[Course].[All]" dimensionUniqueName="[upciss_std_data_table_2]" displayFolder="" count="2" memberValueDatatype="130" unbalanced="0">
      <fieldsUsage count="2">
        <fieldUsage x="-1"/>
        <fieldUsage x="3"/>
      </fieldsUsage>
    </cacheHierarchy>
    <cacheHierarchy uniqueName="[upciss_std_data_table_2].[Total Fee]" caption="Total Fee" attribute="1" defaultMemberUniqueName="[upciss_std_data_table_2].[Total Fee].[All]" allUniqueName="[upciss_std_data_table_2].[Total Fee].[All]" dimensionUniqueName="[upciss_std_data_table_2]" displayFolder="" count="0" memberValueDatatype="20" unbalanced="0"/>
    <cacheHierarchy uniqueName="[upciss_std_data_table_2].[Deposit Fee]" caption="Deposit Fee" attribute="1" defaultMemberUniqueName="[upciss_std_data_table_2].[Deposit Fee].[All]" allUniqueName="[upciss_std_data_table_2].[Deposit Fee].[All]" dimensionUniqueName="[upciss_std_data_table_2]" displayFolder="" count="0" memberValueDatatype="20" unbalanced="0"/>
    <cacheHierarchy uniqueName="[Measures].[__XL_Count upciss_std_data_table_1]" caption="__XL_Count upciss_std_data_table_1" measure="1" displayFolder="" measureGroup="upciss_std_data_table_1" count="0" hidden="1"/>
    <cacheHierarchy uniqueName="[Measures].[__XL_Count upciss_std_data_table_2]" caption="__XL_Count upciss_std_data_table_2" measure="1" displayFolder="" measureGroup="upciss_std_data_table_2" count="0" hidden="1"/>
    <cacheHierarchy uniqueName="[Measures].[__No measures defined]" caption="__No measures defined" measure="1" displayFolder="" count="0" hidden="1"/>
    <cacheHierarchy uniqueName="[Measures].[Sum of Roll_No]" caption="Sum of Roll_No" measure="1" displayFolder="" measureGroup="upciss_std_data_table_1" count="0" hidden="1">
      <extLst>
        <ext xmlns:x15="http://schemas.microsoft.com/office/spreadsheetml/2010/11/main" uri="{B97F6D7D-B522-45F9-BDA1-12C45D357490}">
          <x15:cacheHierarchy aggregatedColumn="1"/>
        </ext>
      </extLst>
    </cacheHierarchy>
    <cacheHierarchy uniqueName="[Measures].[Sum of Total Fee]" caption="Sum of Total Fee" measure="1" displayFolder="" measureGroup="upciss_std_data_table_2"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upciss_std_data_table_1" uniqueName="[upciss_std_data_table_1]" caption="upciss_std_data_table_1"/>
    <dimension name="upciss_std_data_table_2" uniqueName="[upciss_std_data_table_2]" caption="upciss_std_data_table_2"/>
  </dimensions>
  <measureGroups count="2">
    <measureGroup name="upciss_std_data_table_1" caption="upciss_std_data_table_1"/>
    <measureGroup name="upciss_std_data_table_2" caption="upciss_std_data_table_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x v="0"/>
    <s v="SHASHIKANT DIXIT"/>
    <x v="0"/>
    <x v="0"/>
    <s v="01-01-24"/>
    <n v="4400"/>
    <n v="1576"/>
    <x v="0"/>
  </r>
  <r>
    <x v="1"/>
    <x v="1"/>
    <s v="SHRIPAL"/>
    <x v="0"/>
    <x v="1"/>
    <s v="02-01-24"/>
    <n v="4400"/>
    <n v="4736"/>
    <x v="1"/>
  </r>
  <r>
    <x v="2"/>
    <x v="2"/>
    <s v="NASHIM ALI"/>
    <x v="0"/>
    <x v="0"/>
    <s v="02-01-24"/>
    <n v="4400"/>
    <n v="2113"/>
    <x v="2"/>
  </r>
  <r>
    <x v="3"/>
    <x v="3"/>
    <s v="TRIBHUVAN LAL"/>
    <x v="0"/>
    <x v="2"/>
    <s v="02-01-24"/>
    <n v="4400"/>
    <n v="3998"/>
    <x v="2"/>
  </r>
  <r>
    <x v="4"/>
    <x v="4"/>
    <s v="GOKUL PRASAD"/>
    <x v="0"/>
    <x v="0"/>
    <s v="02-01-24"/>
    <n v="4400"/>
    <n v="3918"/>
    <x v="2"/>
  </r>
  <r>
    <x v="5"/>
    <x v="5"/>
    <s v="DEVENDAR SINGH"/>
    <x v="0"/>
    <x v="3"/>
    <s v="02-01-24"/>
    <n v="4400"/>
    <n v="3170"/>
    <x v="2"/>
  </r>
  <r>
    <x v="6"/>
    <x v="6"/>
    <s v="BAGISH KUMAR MISHRA"/>
    <x v="0"/>
    <x v="0"/>
    <s v="03-01-24"/>
    <n v="4400"/>
    <n v="2647"/>
    <x v="2"/>
  </r>
  <r>
    <x v="7"/>
    <x v="7"/>
    <s v="RAM LAKHAN"/>
    <x v="1"/>
    <x v="4"/>
    <s v="03-01-24"/>
    <n v="4400"/>
    <n v="2159"/>
    <x v="2"/>
  </r>
  <r>
    <x v="8"/>
    <x v="8"/>
    <s v="BRAMHIT KASHYAP"/>
    <x v="0"/>
    <x v="0"/>
    <s v="03-01-24"/>
    <n v="4400"/>
    <n v="2581"/>
    <x v="0"/>
  </r>
  <r>
    <x v="9"/>
    <x v="9"/>
    <s v="RAM KHELAVAN"/>
    <x v="1"/>
    <x v="0"/>
    <s v="03-01-24"/>
    <n v="4400"/>
    <n v="3093"/>
    <x v="2"/>
  </r>
  <r>
    <x v="10"/>
    <x v="10"/>
    <s v="VINOD KUMAR"/>
    <x v="0"/>
    <x v="4"/>
    <s v="03-01-24"/>
    <n v="4400"/>
    <n v="4350"/>
    <x v="1"/>
  </r>
  <r>
    <x v="11"/>
    <x v="11"/>
    <s v="SHAUKAT ALI"/>
    <x v="0"/>
    <x v="0"/>
    <s v="05-01-24"/>
    <n v="4400"/>
    <n v="4381"/>
    <x v="2"/>
  </r>
  <r>
    <x v="12"/>
    <x v="12"/>
    <s v="SHAMSHUL HAQ"/>
    <x v="1"/>
    <x v="0"/>
    <s v="05-01-24"/>
    <n v="4400"/>
    <n v="2379"/>
    <x v="0"/>
  </r>
  <r>
    <x v="13"/>
    <x v="13"/>
    <s v="SANTOSH GAUTAM"/>
    <x v="1"/>
    <x v="4"/>
    <s v="05-01-24"/>
    <n v="4400"/>
    <n v="3764"/>
    <x v="2"/>
  </r>
  <r>
    <x v="14"/>
    <x v="14"/>
    <s v="HETRAM"/>
    <x v="1"/>
    <x v="4"/>
    <s v="05-01-24"/>
    <n v="4400"/>
    <n v="4337"/>
    <x v="3"/>
  </r>
  <r>
    <x v="15"/>
    <x v="15"/>
    <s v="CHANDRA BHAL"/>
    <x v="0"/>
    <x v="5"/>
    <s v="18-01-24"/>
    <n v="5500"/>
    <n v="4744"/>
    <x v="4"/>
  </r>
  <r>
    <x v="16"/>
    <x v="16"/>
    <s v="TAHEZEB KHAN"/>
    <x v="1"/>
    <x v="6"/>
    <s v="18-01-24"/>
    <n v="5500"/>
    <n v="3165"/>
    <x v="2"/>
  </r>
  <r>
    <x v="17"/>
    <x v="17"/>
    <s v="RADHEY SHYAM MAURYA"/>
    <x v="1"/>
    <x v="5"/>
    <s v="18-01-24"/>
    <n v="5500"/>
    <n v="3674"/>
    <x v="2"/>
  </r>
  <r>
    <x v="18"/>
    <x v="18"/>
    <s v="ANIL KUMAR MAURYA"/>
    <x v="0"/>
    <x v="6"/>
    <s v="19-01-24"/>
    <n v="5500"/>
    <n v="4326"/>
    <x v="2"/>
  </r>
  <r>
    <x v="19"/>
    <x v="19"/>
    <s v="JAGDISH PRASAD MAURYA"/>
    <x v="0"/>
    <x v="7"/>
    <s v="20-01-24"/>
    <n v="5500"/>
    <n v="4938"/>
    <x v="3"/>
  </r>
  <r>
    <x v="20"/>
    <x v="20"/>
    <s v="RAM MURTI"/>
    <x v="0"/>
    <x v="5"/>
    <s v="20-01-24"/>
    <n v="5500"/>
    <n v="1803"/>
    <x v="5"/>
  </r>
  <r>
    <x v="21"/>
    <x v="21"/>
    <s v="SANTOSH KISHAD"/>
    <x v="0"/>
    <x v="8"/>
    <s v="20-01-24"/>
    <n v="5500"/>
    <n v="3373"/>
    <x v="3"/>
  </r>
  <r>
    <x v="22"/>
    <x v="22"/>
    <s v="AWDESH KUMAR MISHRA"/>
    <x v="0"/>
    <x v="5"/>
    <s v="20-01-24"/>
    <n v="5500"/>
    <n v="4117"/>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
  <r>
    <n v="1"/>
    <x v="0"/>
    <x v="0"/>
    <n v="22000"/>
    <x v="0"/>
  </r>
  <r>
    <n v="2"/>
    <x v="0"/>
    <x v="1"/>
    <n v="5000"/>
    <x v="1"/>
  </r>
  <r>
    <n v="3"/>
    <x v="0"/>
    <x v="2"/>
    <n v="6000"/>
    <x v="2"/>
  </r>
  <r>
    <n v="4"/>
    <x v="0"/>
    <x v="3"/>
    <n v="15000"/>
    <x v="3"/>
  </r>
  <r>
    <n v="5"/>
    <x v="1"/>
    <x v="4"/>
    <n v="200"/>
    <x v="4"/>
  </r>
  <r>
    <n v="6"/>
    <x v="1"/>
    <x v="5"/>
    <n v="1500"/>
    <x v="5"/>
  </r>
  <r>
    <n v="7"/>
    <x v="1"/>
    <x v="6"/>
    <n v="1800"/>
    <x v="6"/>
  </r>
  <r>
    <n v="8"/>
    <x v="1"/>
    <x v="7"/>
    <n v="800"/>
    <x v="7"/>
  </r>
  <r>
    <n v="9"/>
    <x v="1"/>
    <x v="8"/>
    <n v="1000"/>
    <x v="8"/>
  </r>
  <r>
    <n v="10"/>
    <x v="1"/>
    <x v="9"/>
    <n v="14000"/>
    <x v="9"/>
  </r>
  <r>
    <n v="11"/>
    <x v="1"/>
    <x v="10"/>
    <n v="300"/>
    <x v="10"/>
  </r>
  <r>
    <n v="12"/>
    <x v="0"/>
    <x v="0"/>
    <n v="18000"/>
    <x v="11"/>
  </r>
  <r>
    <n v="13"/>
    <x v="0"/>
    <x v="1"/>
    <n v="0"/>
    <x v="12"/>
  </r>
  <r>
    <n v="14"/>
    <x v="0"/>
    <x v="2"/>
    <n v="0"/>
    <x v="13"/>
  </r>
  <r>
    <n v="15"/>
    <x v="0"/>
    <x v="3"/>
    <n v="13000"/>
    <x v="14"/>
  </r>
  <r>
    <n v="16"/>
    <x v="1"/>
    <x v="4"/>
    <n v="0"/>
    <x v="15"/>
  </r>
  <r>
    <n v="17"/>
    <x v="1"/>
    <x v="5"/>
    <n v="1200"/>
    <x v="16"/>
  </r>
  <r>
    <n v="18"/>
    <x v="1"/>
    <x v="6"/>
    <n v="1600"/>
    <x v="17"/>
  </r>
  <r>
    <n v="19"/>
    <x v="1"/>
    <x v="7"/>
    <n v="1000"/>
    <x v="18"/>
  </r>
  <r>
    <n v="20"/>
    <x v="1"/>
    <x v="8"/>
    <n v="1000"/>
    <x v="19"/>
  </r>
  <r>
    <n v="21"/>
    <x v="1"/>
    <x v="9"/>
    <n v="14000"/>
    <x v="20"/>
  </r>
  <r>
    <n v="22"/>
    <x v="1"/>
    <x v="10"/>
    <n v="100"/>
    <x v="21"/>
  </r>
  <r>
    <n v="23"/>
    <x v="0"/>
    <x v="0"/>
    <n v="15000"/>
    <x v="22"/>
  </r>
  <r>
    <n v="24"/>
    <x v="0"/>
    <x v="1"/>
    <n v="0"/>
    <x v="23"/>
  </r>
  <r>
    <n v="25"/>
    <x v="0"/>
    <x v="2"/>
    <n v="8000"/>
    <x v="24"/>
  </r>
  <r>
    <n v="26"/>
    <x v="0"/>
    <x v="3"/>
    <n v="14000"/>
    <x v="25"/>
  </r>
  <r>
    <n v="27"/>
    <x v="1"/>
    <x v="4"/>
    <n v="0"/>
    <x v="26"/>
  </r>
  <r>
    <n v="28"/>
    <x v="1"/>
    <x v="5"/>
    <n v="1200"/>
    <x v="27"/>
  </r>
  <r>
    <n v="29"/>
    <x v="1"/>
    <x v="6"/>
    <n v="2200"/>
    <x v="28"/>
  </r>
  <r>
    <n v="30"/>
    <x v="1"/>
    <x v="7"/>
    <n v="1000"/>
    <x v="29"/>
  </r>
  <r>
    <n v="31"/>
    <x v="1"/>
    <x v="8"/>
    <n v="1000"/>
    <x v="30"/>
  </r>
  <r>
    <n v="32"/>
    <x v="1"/>
    <x v="9"/>
    <n v="14000"/>
    <x v="31"/>
  </r>
  <r>
    <n v="33"/>
    <x v="1"/>
    <x v="10"/>
    <n v="100"/>
    <x v="32"/>
  </r>
  <r>
    <n v="34"/>
    <x v="0"/>
    <x v="0"/>
    <n v="25200"/>
    <x v="33"/>
  </r>
  <r>
    <n v="35"/>
    <x v="0"/>
    <x v="1"/>
    <n v="3000"/>
    <x v="34"/>
  </r>
  <r>
    <n v="36"/>
    <x v="0"/>
    <x v="2"/>
    <n v="0"/>
    <x v="35"/>
  </r>
  <r>
    <n v="37"/>
    <x v="0"/>
    <x v="3"/>
    <n v="16000"/>
    <x v="36"/>
  </r>
  <r>
    <n v="38"/>
    <x v="1"/>
    <x v="4"/>
    <n v="0"/>
    <x v="37"/>
  </r>
  <r>
    <n v="39"/>
    <x v="1"/>
    <x v="5"/>
    <n v="2000"/>
    <x v="38"/>
  </r>
  <r>
    <n v="40"/>
    <x v="1"/>
    <x v="6"/>
    <n v="2300"/>
    <x v="39"/>
  </r>
  <r>
    <n v="41"/>
    <x v="1"/>
    <x v="7"/>
    <n v="1600"/>
    <x v="40"/>
  </r>
  <r>
    <n v="42"/>
    <x v="1"/>
    <x v="8"/>
    <n v="1000"/>
    <x v="41"/>
  </r>
  <r>
    <n v="43"/>
    <x v="1"/>
    <x v="9"/>
    <n v="14000"/>
    <x v="42"/>
  </r>
  <r>
    <n v="44"/>
    <x v="1"/>
    <x v="10"/>
    <n v="100"/>
    <x v="43"/>
  </r>
  <r>
    <n v="45"/>
    <x v="0"/>
    <x v="0"/>
    <n v="17000"/>
    <x v="44"/>
  </r>
  <r>
    <n v="46"/>
    <x v="0"/>
    <x v="1"/>
    <n v="0"/>
    <x v="45"/>
  </r>
  <r>
    <n v="47"/>
    <x v="0"/>
    <x v="2"/>
    <n v="0"/>
    <x v="46"/>
  </r>
  <r>
    <n v="48"/>
    <x v="0"/>
    <x v="3"/>
    <n v="13000"/>
    <x v="47"/>
  </r>
  <r>
    <n v="49"/>
    <x v="1"/>
    <x v="4"/>
    <n v="0"/>
    <x v="48"/>
  </r>
  <r>
    <n v="50"/>
    <x v="1"/>
    <x v="5"/>
    <n v="1200"/>
    <x v="49"/>
  </r>
  <r>
    <n v="51"/>
    <x v="1"/>
    <x v="6"/>
    <n v="2000"/>
    <x v="50"/>
  </r>
  <r>
    <n v="52"/>
    <x v="1"/>
    <x v="7"/>
    <n v="1000"/>
    <x v="51"/>
  </r>
  <r>
    <n v="53"/>
    <x v="1"/>
    <x v="8"/>
    <n v="1000"/>
    <x v="52"/>
  </r>
  <r>
    <n v="54"/>
    <x v="1"/>
    <x v="9"/>
    <n v="14000"/>
    <x v="53"/>
  </r>
  <r>
    <n v="55"/>
    <x v="1"/>
    <x v="10"/>
    <n v="100"/>
    <x v="54"/>
  </r>
  <r>
    <n v="56"/>
    <x v="0"/>
    <x v="0"/>
    <n v="3000"/>
    <x v="55"/>
  </r>
  <r>
    <n v="57"/>
    <x v="0"/>
    <x v="1"/>
    <n v="0"/>
    <x v="56"/>
  </r>
  <r>
    <n v="58"/>
    <x v="0"/>
    <x v="2"/>
    <n v="0"/>
    <x v="57"/>
  </r>
  <r>
    <n v="59"/>
    <x v="0"/>
    <x v="3"/>
    <n v="10000"/>
    <x v="58"/>
  </r>
  <r>
    <n v="60"/>
    <x v="1"/>
    <x v="4"/>
    <n v="0"/>
    <x v="59"/>
  </r>
  <r>
    <n v="61"/>
    <x v="1"/>
    <x v="5"/>
    <n v="1200"/>
    <x v="60"/>
  </r>
  <r>
    <n v="62"/>
    <x v="1"/>
    <x v="6"/>
    <n v="2000"/>
    <x v="61"/>
  </r>
  <r>
    <n v="63"/>
    <x v="1"/>
    <x v="7"/>
    <n v="1000"/>
    <x v="62"/>
  </r>
  <r>
    <n v="64"/>
    <x v="1"/>
    <x v="8"/>
    <n v="1000"/>
    <x v="63"/>
  </r>
  <r>
    <n v="65"/>
    <x v="1"/>
    <x v="9"/>
    <n v="14000"/>
    <x v="64"/>
  </r>
  <r>
    <n v="66"/>
    <x v="1"/>
    <x v="10"/>
    <n v="100"/>
    <x v="65"/>
  </r>
  <r>
    <n v="67"/>
    <x v="0"/>
    <x v="0"/>
    <n v="18000"/>
    <x v="66"/>
  </r>
  <r>
    <n v="68"/>
    <x v="0"/>
    <x v="1"/>
    <n v="0"/>
    <x v="67"/>
  </r>
  <r>
    <n v="69"/>
    <x v="0"/>
    <x v="2"/>
    <n v="0"/>
    <x v="68"/>
  </r>
  <r>
    <n v="70"/>
    <x v="0"/>
    <x v="3"/>
    <n v="13000"/>
    <x v="69"/>
  </r>
  <r>
    <n v="71"/>
    <x v="1"/>
    <x v="4"/>
    <n v="0"/>
    <x v="70"/>
  </r>
  <r>
    <n v="72"/>
    <x v="1"/>
    <x v="5"/>
    <n v="1200"/>
    <x v="71"/>
  </r>
  <r>
    <n v="73"/>
    <x v="1"/>
    <x v="6"/>
    <n v="2000"/>
    <x v="72"/>
  </r>
  <r>
    <n v="74"/>
    <x v="1"/>
    <x v="7"/>
    <n v="1000"/>
    <x v="73"/>
  </r>
  <r>
    <n v="75"/>
    <x v="1"/>
    <x v="8"/>
    <n v="1000"/>
    <x v="74"/>
  </r>
  <r>
    <n v="76"/>
    <x v="1"/>
    <x v="9"/>
    <n v="14000"/>
    <x v="75"/>
  </r>
  <r>
    <n v="77"/>
    <x v="1"/>
    <x v="10"/>
    <n v="100"/>
    <x v="76"/>
  </r>
  <r>
    <n v="78"/>
    <x v="0"/>
    <x v="0"/>
    <n v="20000"/>
    <x v="77"/>
  </r>
  <r>
    <n v="79"/>
    <x v="0"/>
    <x v="1"/>
    <n v="0"/>
    <x v="78"/>
  </r>
  <r>
    <n v="80"/>
    <x v="0"/>
    <x v="2"/>
    <n v="0"/>
    <x v="79"/>
  </r>
  <r>
    <n v="81"/>
    <x v="0"/>
    <x v="3"/>
    <n v="15000"/>
    <x v="80"/>
  </r>
  <r>
    <n v="82"/>
    <x v="1"/>
    <x v="4"/>
    <n v="0"/>
    <x v="81"/>
  </r>
  <r>
    <n v="83"/>
    <x v="1"/>
    <x v="5"/>
    <n v="1200"/>
    <x v="82"/>
  </r>
  <r>
    <n v="84"/>
    <x v="1"/>
    <x v="6"/>
    <n v="2000"/>
    <x v="83"/>
  </r>
  <r>
    <n v="85"/>
    <x v="1"/>
    <x v="7"/>
    <n v="1000"/>
    <x v="84"/>
  </r>
  <r>
    <n v="86"/>
    <x v="1"/>
    <x v="8"/>
    <n v="1000"/>
    <x v="85"/>
  </r>
  <r>
    <n v="87"/>
    <x v="1"/>
    <x v="9"/>
    <n v="14000"/>
    <x v="86"/>
  </r>
  <r>
    <n v="88"/>
    <x v="1"/>
    <x v="10"/>
    <n v="100"/>
    <x v="87"/>
  </r>
  <r>
    <n v="89"/>
    <x v="0"/>
    <x v="0"/>
    <n v="23000"/>
    <x v="88"/>
  </r>
  <r>
    <n v="90"/>
    <x v="0"/>
    <x v="1"/>
    <n v="0"/>
    <x v="89"/>
  </r>
  <r>
    <n v="91"/>
    <x v="0"/>
    <x v="2"/>
    <n v="0"/>
    <x v="90"/>
  </r>
  <r>
    <n v="92"/>
    <x v="0"/>
    <x v="3"/>
    <n v="32000"/>
    <x v="91"/>
  </r>
  <r>
    <n v="93"/>
    <x v="1"/>
    <x v="4"/>
    <n v="0"/>
    <x v="92"/>
  </r>
  <r>
    <n v="94"/>
    <x v="1"/>
    <x v="5"/>
    <n v="1200"/>
    <x v="93"/>
  </r>
  <r>
    <n v="95"/>
    <x v="1"/>
    <x v="6"/>
    <n v="2500"/>
    <x v="94"/>
  </r>
  <r>
    <n v="96"/>
    <x v="1"/>
    <x v="7"/>
    <n v="1800"/>
    <x v="95"/>
  </r>
  <r>
    <n v="97"/>
    <x v="1"/>
    <x v="8"/>
    <n v="1000"/>
    <x v="96"/>
  </r>
  <r>
    <n v="98"/>
    <x v="1"/>
    <x v="9"/>
    <n v="14000"/>
    <x v="97"/>
  </r>
  <r>
    <n v="99"/>
    <x v="1"/>
    <x v="10"/>
    <n v="100"/>
    <x v="98"/>
  </r>
  <r>
    <n v="100"/>
    <x v="0"/>
    <x v="0"/>
    <n v="30000"/>
    <x v="99"/>
  </r>
  <r>
    <n v="101"/>
    <x v="0"/>
    <x v="1"/>
    <n v="0"/>
    <x v="100"/>
  </r>
  <r>
    <n v="102"/>
    <x v="0"/>
    <x v="2"/>
    <n v="0"/>
    <x v="101"/>
  </r>
  <r>
    <n v="103"/>
    <x v="0"/>
    <x v="3"/>
    <n v="16000"/>
    <x v="102"/>
  </r>
  <r>
    <n v="104"/>
    <x v="1"/>
    <x v="4"/>
    <n v="0"/>
    <x v="103"/>
  </r>
  <r>
    <n v="105"/>
    <x v="1"/>
    <x v="5"/>
    <n v="1200"/>
    <x v="104"/>
  </r>
  <r>
    <n v="106"/>
    <x v="1"/>
    <x v="6"/>
    <n v="2000"/>
    <x v="105"/>
  </r>
  <r>
    <n v="107"/>
    <x v="1"/>
    <x v="7"/>
    <n v="1000"/>
    <x v="106"/>
  </r>
  <r>
    <n v="108"/>
    <x v="1"/>
    <x v="8"/>
    <n v="1000"/>
    <x v="107"/>
  </r>
  <r>
    <n v="109"/>
    <x v="1"/>
    <x v="9"/>
    <n v="14000"/>
    <x v="108"/>
  </r>
  <r>
    <n v="110"/>
    <x v="1"/>
    <x v="10"/>
    <n v="800"/>
    <x v="109"/>
  </r>
  <r>
    <n v="111"/>
    <x v="0"/>
    <x v="0"/>
    <n v="25000"/>
    <x v="110"/>
  </r>
  <r>
    <n v="112"/>
    <x v="0"/>
    <x v="1"/>
    <n v="0"/>
    <x v="111"/>
  </r>
  <r>
    <n v="113"/>
    <x v="0"/>
    <x v="2"/>
    <n v="0"/>
    <x v="112"/>
  </r>
  <r>
    <n v="114"/>
    <x v="0"/>
    <x v="3"/>
    <n v="14000"/>
    <x v="113"/>
  </r>
  <r>
    <n v="115"/>
    <x v="1"/>
    <x v="4"/>
    <n v="0"/>
    <x v="114"/>
  </r>
  <r>
    <n v="116"/>
    <x v="1"/>
    <x v="5"/>
    <n v="1200"/>
    <x v="115"/>
  </r>
  <r>
    <n v="117"/>
    <x v="1"/>
    <x v="6"/>
    <n v="2200"/>
    <x v="116"/>
  </r>
  <r>
    <n v="118"/>
    <x v="1"/>
    <x v="7"/>
    <n v="1300"/>
    <x v="117"/>
  </r>
  <r>
    <n v="119"/>
    <x v="1"/>
    <x v="8"/>
    <n v="1000"/>
    <x v="118"/>
  </r>
  <r>
    <n v="120"/>
    <x v="1"/>
    <x v="9"/>
    <n v="14000"/>
    <x v="119"/>
  </r>
  <r>
    <n v="121"/>
    <x v="1"/>
    <x v="10"/>
    <n v="400"/>
    <x v="120"/>
  </r>
  <r>
    <n v="122"/>
    <x v="0"/>
    <x v="0"/>
    <n v="18000"/>
    <x v="121"/>
  </r>
  <r>
    <n v="123"/>
    <x v="0"/>
    <x v="1"/>
    <n v="5000"/>
    <x v="122"/>
  </r>
  <r>
    <n v="124"/>
    <x v="0"/>
    <x v="2"/>
    <n v="0"/>
    <x v="123"/>
  </r>
  <r>
    <n v="125"/>
    <x v="0"/>
    <x v="3"/>
    <n v="12000"/>
    <x v="124"/>
  </r>
  <r>
    <n v="126"/>
    <x v="1"/>
    <x v="4"/>
    <n v="0"/>
    <x v="125"/>
  </r>
  <r>
    <n v="127"/>
    <x v="1"/>
    <x v="5"/>
    <n v="1200"/>
    <x v="126"/>
  </r>
  <r>
    <n v="128"/>
    <x v="1"/>
    <x v="6"/>
    <n v="1300"/>
    <x v="127"/>
  </r>
  <r>
    <n v="129"/>
    <x v="1"/>
    <x v="7"/>
    <n v="1000"/>
    <x v="128"/>
  </r>
  <r>
    <n v="130"/>
    <x v="1"/>
    <x v="8"/>
    <n v="1000"/>
    <x v="129"/>
  </r>
  <r>
    <n v="131"/>
    <x v="1"/>
    <x v="9"/>
    <n v="14000"/>
    <x v="130"/>
  </r>
  <r>
    <n v="132"/>
    <x v="1"/>
    <x v="10"/>
    <n v="500"/>
    <x v="13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n v="18001"/>
    <s v="JAY PRAKASH"/>
    <s v="SHASHIKANT DIXIT"/>
    <s v="Male"/>
    <x v="0"/>
    <s v="01-01-24"/>
    <n v="4400"/>
    <n v="1576"/>
    <x v="0"/>
  </r>
  <r>
    <n v="18002"/>
    <s v="ANOOP KUMAR"/>
    <s v="SHRIPAL"/>
    <s v="Male"/>
    <x v="1"/>
    <s v="02-01-24"/>
    <n v="4400"/>
    <n v="4736"/>
    <x v="1"/>
  </r>
  <r>
    <n v="18003"/>
    <s v="LAREB KHAN"/>
    <s v="NASHIM ALI"/>
    <s v="Male"/>
    <x v="0"/>
    <s v="02-01-24"/>
    <n v="4400"/>
    <n v="2113"/>
    <x v="2"/>
  </r>
  <r>
    <n v="18004"/>
    <s v="PAVAN PRATAP KUMAR"/>
    <s v="TRIBHUVAN LAL"/>
    <s v="Male"/>
    <x v="2"/>
    <s v="02-01-24"/>
    <n v="4400"/>
    <n v="3998"/>
    <x v="2"/>
  </r>
  <r>
    <n v="18005"/>
    <s v="SAHIL KHAN"/>
    <s v="GOKUL PRASAD"/>
    <s v="Male"/>
    <x v="0"/>
    <s v="02-01-24"/>
    <n v="4400"/>
    <n v="3918"/>
    <x v="2"/>
  </r>
  <r>
    <n v="18006"/>
    <s v="SHAIWAM"/>
    <s v="DEVENDAR SINGH"/>
    <s v="Male"/>
    <x v="3"/>
    <s v="02-01-24"/>
    <n v="4400"/>
    <n v="3170"/>
    <x v="2"/>
  </r>
  <r>
    <n v="18007"/>
    <s v="BABLU KUMAR"/>
    <s v="BAGISH KUMAR MISHRA"/>
    <s v="Male"/>
    <x v="0"/>
    <s v="03-01-24"/>
    <n v="4400"/>
    <n v="2647"/>
    <x v="2"/>
  </r>
  <r>
    <n v="18008"/>
    <s v="JAKELI KHAN"/>
    <s v="RAM LAKHAN"/>
    <s v="Female"/>
    <x v="4"/>
    <s v="03-01-24"/>
    <n v="4400"/>
    <n v="2159"/>
    <x v="2"/>
  </r>
  <r>
    <n v="18009"/>
    <s v="PRACHI SINGH"/>
    <s v="BRAMHIT KASHYAP"/>
    <s v="Male"/>
    <x v="0"/>
    <s v="03-01-24"/>
    <n v="4400"/>
    <n v="2581"/>
    <x v="0"/>
  </r>
  <r>
    <n v="18010"/>
    <s v="SANDEEP KUMAR"/>
    <s v="RAM KHELAVAN"/>
    <s v="Female"/>
    <x v="0"/>
    <s v="03-01-24"/>
    <n v="4400"/>
    <n v="3093"/>
    <x v="2"/>
  </r>
  <r>
    <n v="18011"/>
    <s v="ABHISHEK SINGH"/>
    <s v="VINOD KUMAR"/>
    <s v="Male"/>
    <x v="4"/>
    <s v="03-01-24"/>
    <n v="4400"/>
    <n v="4350"/>
    <x v="1"/>
  </r>
  <r>
    <n v="18012"/>
    <s v="PARAKJ KUMAR"/>
    <s v="SHAUKAT ALI"/>
    <s v="Male"/>
    <x v="0"/>
    <s v="05-01-24"/>
    <n v="4400"/>
    <n v="4381"/>
    <x v="2"/>
  </r>
  <r>
    <n v="18013"/>
    <s v="ARUN KUMAR RAJ"/>
    <s v="SHAMSHUL HAQ"/>
    <s v="Female"/>
    <x v="0"/>
    <s v="05-01-24"/>
    <n v="4400"/>
    <n v="2379"/>
    <x v="0"/>
  </r>
  <r>
    <n v="18014"/>
    <s v="MNO. KAUSEN RAZA"/>
    <s v="SANTOSH GAUTAM"/>
    <s v="Female"/>
    <x v="4"/>
    <s v="05-01-24"/>
    <n v="4400"/>
    <n v="3764"/>
    <x v="2"/>
  </r>
  <r>
    <n v="18015"/>
    <s v="NAND LAL"/>
    <s v="HETRAM"/>
    <s v="Female"/>
    <x v="4"/>
    <s v="05-01-24"/>
    <n v="4400"/>
    <n v="4337"/>
    <x v="3"/>
  </r>
  <r>
    <n v="18016"/>
    <s v="ASHOK KUMAR"/>
    <s v="CHANDRA BHAL"/>
    <s v="Male"/>
    <x v="5"/>
    <s v="18-01-24"/>
    <n v="5500"/>
    <n v="4744"/>
    <x v="4"/>
  </r>
  <r>
    <n v="18017"/>
    <s v="GAYATRI DEVI"/>
    <s v="TAHEZEB KHAN"/>
    <s v="Female"/>
    <x v="6"/>
    <s v="18-01-24"/>
    <n v="5500"/>
    <n v="3165"/>
    <x v="2"/>
  </r>
  <r>
    <n v="18018"/>
    <s v="JANARDAN PAL"/>
    <s v="RADHEY SHYAM MAURYA"/>
    <s v="Female"/>
    <x v="5"/>
    <s v="18-01-24"/>
    <n v="5500"/>
    <n v="3674"/>
    <x v="2"/>
  </r>
  <r>
    <n v="18019"/>
    <s v="APOORVA VERMA"/>
    <s v="ANIL KUMAR MAURYA"/>
    <s v="Male"/>
    <x v="6"/>
    <s v="19-01-24"/>
    <n v="5500"/>
    <n v="4326"/>
    <x v="2"/>
  </r>
  <r>
    <n v="18020"/>
    <s v="SANJAY KUMAR"/>
    <s v="JAGDISH PRASAD MAURYA"/>
    <s v="Male"/>
    <x v="7"/>
    <s v="20-01-24"/>
    <n v="5500"/>
    <n v="4938"/>
    <x v="3"/>
  </r>
  <r>
    <n v="18021"/>
    <s v="SUNEL KUMAR"/>
    <s v="RAM MURTI"/>
    <s v="Male"/>
    <x v="5"/>
    <s v="20-01-24"/>
    <n v="5500"/>
    <n v="1803"/>
    <x v="5"/>
  </r>
  <r>
    <n v="18022"/>
    <s v="AJAY KUMAR"/>
    <s v="SANTOSH KISHAD"/>
    <s v="Male"/>
    <x v="8"/>
    <s v="20-01-24"/>
    <n v="5500"/>
    <n v="3373"/>
    <x v="3"/>
  </r>
  <r>
    <n v="18023"/>
    <s v="DEEPAK KUMAR"/>
    <s v="AWDESH KUMAR MISHRA"/>
    <s v="Male"/>
    <x v="5"/>
    <s v="20-01-24"/>
    <n v="5500"/>
    <n v="4117"/>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
  <r>
    <n v="1"/>
    <x v="0"/>
    <x v="0"/>
    <n v="22000"/>
    <d v="2025-01-01T00:00:00"/>
  </r>
  <r>
    <n v="2"/>
    <x v="0"/>
    <x v="1"/>
    <n v="5000"/>
    <d v="2025-01-02T00:00:00"/>
  </r>
  <r>
    <n v="3"/>
    <x v="0"/>
    <x v="2"/>
    <n v="6000"/>
    <d v="2025-01-03T00:00:00"/>
  </r>
  <r>
    <n v="4"/>
    <x v="0"/>
    <x v="3"/>
    <n v="15000"/>
    <d v="2025-01-04T00:00:00"/>
  </r>
  <r>
    <n v="5"/>
    <x v="1"/>
    <x v="4"/>
    <n v="200"/>
    <d v="2025-01-05T00:00:00"/>
  </r>
  <r>
    <n v="6"/>
    <x v="1"/>
    <x v="5"/>
    <n v="1500"/>
    <d v="2025-01-06T00:00:00"/>
  </r>
  <r>
    <n v="7"/>
    <x v="1"/>
    <x v="6"/>
    <n v="1800"/>
    <d v="2025-01-07T00:00:00"/>
  </r>
  <r>
    <n v="8"/>
    <x v="1"/>
    <x v="7"/>
    <n v="800"/>
    <d v="2025-01-08T00:00:00"/>
  </r>
  <r>
    <n v="9"/>
    <x v="1"/>
    <x v="8"/>
    <n v="1000"/>
    <d v="2025-01-09T00:00:00"/>
  </r>
  <r>
    <n v="10"/>
    <x v="1"/>
    <x v="9"/>
    <n v="14000"/>
    <d v="2025-01-10T00:00:00"/>
  </r>
  <r>
    <n v="11"/>
    <x v="1"/>
    <x v="10"/>
    <n v="300"/>
    <d v="2025-01-11T00:00:00"/>
  </r>
  <r>
    <n v="12"/>
    <x v="0"/>
    <x v="0"/>
    <n v="18000"/>
    <d v="2025-02-01T00:00:00"/>
  </r>
  <r>
    <n v="13"/>
    <x v="0"/>
    <x v="1"/>
    <n v="0"/>
    <d v="2025-02-02T00:00:00"/>
  </r>
  <r>
    <n v="14"/>
    <x v="0"/>
    <x v="2"/>
    <n v="0"/>
    <d v="2025-02-03T00:00:00"/>
  </r>
  <r>
    <n v="15"/>
    <x v="0"/>
    <x v="3"/>
    <n v="13000"/>
    <d v="2025-02-04T00:00:00"/>
  </r>
  <r>
    <n v="16"/>
    <x v="1"/>
    <x v="4"/>
    <n v="0"/>
    <d v="2025-02-05T00:00:00"/>
  </r>
  <r>
    <n v="17"/>
    <x v="1"/>
    <x v="5"/>
    <n v="1200"/>
    <d v="2025-02-06T00:00:00"/>
  </r>
  <r>
    <n v="18"/>
    <x v="1"/>
    <x v="6"/>
    <n v="1600"/>
    <d v="2025-02-07T00:00:00"/>
  </r>
  <r>
    <n v="19"/>
    <x v="1"/>
    <x v="7"/>
    <n v="1000"/>
    <d v="2025-02-08T00:00:00"/>
  </r>
  <r>
    <n v="20"/>
    <x v="1"/>
    <x v="8"/>
    <n v="1000"/>
    <d v="2025-02-09T00:00:00"/>
  </r>
  <r>
    <n v="21"/>
    <x v="1"/>
    <x v="9"/>
    <n v="14000"/>
    <d v="2025-02-10T00:00:00"/>
  </r>
  <r>
    <n v="22"/>
    <x v="1"/>
    <x v="10"/>
    <n v="100"/>
    <d v="2025-02-11T00:00:00"/>
  </r>
  <r>
    <n v="23"/>
    <x v="0"/>
    <x v="0"/>
    <n v="15000"/>
    <d v="2025-03-01T00:00:00"/>
  </r>
  <r>
    <n v="24"/>
    <x v="0"/>
    <x v="1"/>
    <n v="0"/>
    <d v="2025-03-02T00:00:00"/>
  </r>
  <r>
    <n v="25"/>
    <x v="0"/>
    <x v="2"/>
    <n v="8000"/>
    <d v="2025-03-03T00:00:00"/>
  </r>
  <r>
    <n v="26"/>
    <x v="0"/>
    <x v="3"/>
    <n v="14000"/>
    <d v="2025-03-04T00:00:00"/>
  </r>
  <r>
    <n v="27"/>
    <x v="1"/>
    <x v="4"/>
    <n v="0"/>
    <d v="2025-03-05T00:00:00"/>
  </r>
  <r>
    <n v="28"/>
    <x v="1"/>
    <x v="5"/>
    <n v="1200"/>
    <d v="2025-03-06T00:00:00"/>
  </r>
  <r>
    <n v="29"/>
    <x v="1"/>
    <x v="6"/>
    <n v="2200"/>
    <d v="2025-03-07T00:00:00"/>
  </r>
  <r>
    <n v="30"/>
    <x v="1"/>
    <x v="7"/>
    <n v="1000"/>
    <d v="2025-03-08T00:00:00"/>
  </r>
  <r>
    <n v="31"/>
    <x v="1"/>
    <x v="8"/>
    <n v="1000"/>
    <d v="2025-03-09T00:00:00"/>
  </r>
  <r>
    <n v="32"/>
    <x v="1"/>
    <x v="9"/>
    <n v="14000"/>
    <d v="2025-03-10T00:00:00"/>
  </r>
  <r>
    <n v="33"/>
    <x v="1"/>
    <x v="10"/>
    <n v="100"/>
    <d v="2025-03-11T00:00:00"/>
  </r>
  <r>
    <n v="34"/>
    <x v="0"/>
    <x v="0"/>
    <n v="25200"/>
    <d v="2025-04-01T00:00:00"/>
  </r>
  <r>
    <n v="35"/>
    <x v="0"/>
    <x v="1"/>
    <n v="3000"/>
    <d v="2025-04-02T00:00:00"/>
  </r>
  <r>
    <n v="36"/>
    <x v="0"/>
    <x v="2"/>
    <n v="0"/>
    <d v="2025-04-03T00:00:00"/>
  </r>
  <r>
    <n v="37"/>
    <x v="0"/>
    <x v="3"/>
    <n v="16000"/>
    <d v="2025-04-04T00:00:00"/>
  </r>
  <r>
    <n v="38"/>
    <x v="1"/>
    <x v="4"/>
    <n v="0"/>
    <d v="2025-04-05T00:00:00"/>
  </r>
  <r>
    <n v="39"/>
    <x v="1"/>
    <x v="5"/>
    <n v="2000"/>
    <d v="2025-04-06T00:00:00"/>
  </r>
  <r>
    <n v="40"/>
    <x v="1"/>
    <x v="6"/>
    <n v="2300"/>
    <d v="2025-04-07T00:00:00"/>
  </r>
  <r>
    <n v="41"/>
    <x v="1"/>
    <x v="7"/>
    <n v="1600"/>
    <d v="2025-04-08T00:00:00"/>
  </r>
  <r>
    <n v="42"/>
    <x v="1"/>
    <x v="8"/>
    <n v="1000"/>
    <d v="2025-04-09T00:00:00"/>
  </r>
  <r>
    <n v="43"/>
    <x v="1"/>
    <x v="9"/>
    <n v="14000"/>
    <d v="2025-04-10T00:00:00"/>
  </r>
  <r>
    <n v="44"/>
    <x v="1"/>
    <x v="10"/>
    <n v="100"/>
    <d v="2025-04-11T00:00:00"/>
  </r>
  <r>
    <n v="45"/>
    <x v="0"/>
    <x v="0"/>
    <n v="17000"/>
    <d v="2025-05-01T00:00:00"/>
  </r>
  <r>
    <n v="46"/>
    <x v="0"/>
    <x v="1"/>
    <n v="0"/>
    <d v="2025-05-02T00:00:00"/>
  </r>
  <r>
    <n v="47"/>
    <x v="0"/>
    <x v="2"/>
    <n v="0"/>
    <d v="2025-05-03T00:00:00"/>
  </r>
  <r>
    <n v="48"/>
    <x v="0"/>
    <x v="3"/>
    <n v="13000"/>
    <d v="2025-05-04T00:00:00"/>
  </r>
  <r>
    <n v="49"/>
    <x v="1"/>
    <x v="4"/>
    <n v="0"/>
    <d v="2025-05-05T00:00:00"/>
  </r>
  <r>
    <n v="50"/>
    <x v="1"/>
    <x v="5"/>
    <n v="1200"/>
    <d v="2025-05-06T00:00:00"/>
  </r>
  <r>
    <n v="51"/>
    <x v="1"/>
    <x v="6"/>
    <n v="2000"/>
    <d v="2025-05-07T00:00:00"/>
  </r>
  <r>
    <n v="52"/>
    <x v="1"/>
    <x v="7"/>
    <n v="1000"/>
    <d v="2025-05-08T00:00:00"/>
  </r>
  <r>
    <n v="53"/>
    <x v="1"/>
    <x v="8"/>
    <n v="1000"/>
    <d v="2025-05-09T00:00:00"/>
  </r>
  <r>
    <n v="54"/>
    <x v="1"/>
    <x v="9"/>
    <n v="14000"/>
    <d v="2025-05-10T00:00:00"/>
  </r>
  <r>
    <n v="55"/>
    <x v="1"/>
    <x v="10"/>
    <n v="100"/>
    <d v="2025-05-11T00:00:00"/>
  </r>
  <r>
    <n v="56"/>
    <x v="0"/>
    <x v="0"/>
    <n v="3000"/>
    <d v="2025-06-01T00:00:00"/>
  </r>
  <r>
    <n v="57"/>
    <x v="0"/>
    <x v="1"/>
    <n v="0"/>
    <d v="2025-06-02T00:00:00"/>
  </r>
  <r>
    <n v="58"/>
    <x v="0"/>
    <x v="2"/>
    <n v="0"/>
    <d v="2025-06-03T00:00:00"/>
  </r>
  <r>
    <n v="59"/>
    <x v="0"/>
    <x v="3"/>
    <n v="10000"/>
    <d v="2025-06-04T00:00:00"/>
  </r>
  <r>
    <n v="60"/>
    <x v="1"/>
    <x v="4"/>
    <n v="0"/>
    <d v="2025-06-05T00:00:00"/>
  </r>
  <r>
    <n v="61"/>
    <x v="1"/>
    <x v="5"/>
    <n v="1200"/>
    <d v="2025-06-06T00:00:00"/>
  </r>
  <r>
    <n v="62"/>
    <x v="1"/>
    <x v="6"/>
    <n v="2000"/>
    <d v="2025-06-07T00:00:00"/>
  </r>
  <r>
    <n v="63"/>
    <x v="1"/>
    <x v="7"/>
    <n v="1000"/>
    <d v="2025-06-08T00:00:00"/>
  </r>
  <r>
    <n v="64"/>
    <x v="1"/>
    <x v="8"/>
    <n v="1000"/>
    <d v="2025-06-09T00:00:00"/>
  </r>
  <r>
    <n v="65"/>
    <x v="1"/>
    <x v="9"/>
    <n v="14000"/>
    <d v="2025-06-10T00:00:00"/>
  </r>
  <r>
    <n v="66"/>
    <x v="1"/>
    <x v="10"/>
    <n v="100"/>
    <d v="2025-06-11T00:00:00"/>
  </r>
  <r>
    <n v="67"/>
    <x v="0"/>
    <x v="0"/>
    <n v="18000"/>
    <d v="2025-07-01T00:00:00"/>
  </r>
  <r>
    <n v="68"/>
    <x v="0"/>
    <x v="1"/>
    <n v="0"/>
    <d v="2025-07-02T00:00:00"/>
  </r>
  <r>
    <n v="69"/>
    <x v="0"/>
    <x v="2"/>
    <n v="0"/>
    <d v="2025-07-03T00:00:00"/>
  </r>
  <r>
    <n v="70"/>
    <x v="0"/>
    <x v="3"/>
    <n v="13000"/>
    <d v="2025-07-04T00:00:00"/>
  </r>
  <r>
    <n v="71"/>
    <x v="1"/>
    <x v="4"/>
    <n v="0"/>
    <d v="2025-07-05T00:00:00"/>
  </r>
  <r>
    <n v="72"/>
    <x v="1"/>
    <x v="5"/>
    <n v="1200"/>
    <d v="2025-07-06T00:00:00"/>
  </r>
  <r>
    <n v="73"/>
    <x v="1"/>
    <x v="6"/>
    <n v="2000"/>
    <d v="2025-07-07T00:00:00"/>
  </r>
  <r>
    <n v="74"/>
    <x v="1"/>
    <x v="7"/>
    <n v="1000"/>
    <d v="2025-07-08T00:00:00"/>
  </r>
  <r>
    <n v="75"/>
    <x v="1"/>
    <x v="8"/>
    <n v="1000"/>
    <d v="2025-07-09T00:00:00"/>
  </r>
  <r>
    <n v="76"/>
    <x v="1"/>
    <x v="9"/>
    <n v="14000"/>
    <d v="2025-07-10T00:00:00"/>
  </r>
  <r>
    <n v="77"/>
    <x v="1"/>
    <x v="10"/>
    <n v="100"/>
    <d v="2025-07-11T00:00:00"/>
  </r>
  <r>
    <n v="78"/>
    <x v="0"/>
    <x v="0"/>
    <n v="20000"/>
    <d v="2025-08-01T00:00:00"/>
  </r>
  <r>
    <n v="79"/>
    <x v="0"/>
    <x v="1"/>
    <n v="0"/>
    <d v="2025-08-02T00:00:00"/>
  </r>
  <r>
    <n v="80"/>
    <x v="0"/>
    <x v="2"/>
    <n v="0"/>
    <d v="2025-08-03T00:00:00"/>
  </r>
  <r>
    <n v="81"/>
    <x v="0"/>
    <x v="3"/>
    <n v="15000"/>
    <d v="2025-08-04T00:00:00"/>
  </r>
  <r>
    <n v="82"/>
    <x v="1"/>
    <x v="4"/>
    <n v="0"/>
    <d v="2025-08-05T00:00:00"/>
  </r>
  <r>
    <n v="83"/>
    <x v="1"/>
    <x v="5"/>
    <n v="1200"/>
    <d v="2025-08-06T00:00:00"/>
  </r>
  <r>
    <n v="84"/>
    <x v="1"/>
    <x v="6"/>
    <n v="2000"/>
    <d v="2025-08-07T00:00:00"/>
  </r>
  <r>
    <n v="85"/>
    <x v="1"/>
    <x v="7"/>
    <n v="1000"/>
    <d v="2025-08-08T00:00:00"/>
  </r>
  <r>
    <n v="86"/>
    <x v="1"/>
    <x v="8"/>
    <n v="1000"/>
    <d v="2025-08-09T00:00:00"/>
  </r>
  <r>
    <n v="87"/>
    <x v="1"/>
    <x v="9"/>
    <n v="14000"/>
    <d v="2025-08-10T00:00:00"/>
  </r>
  <r>
    <n v="88"/>
    <x v="1"/>
    <x v="10"/>
    <n v="100"/>
    <d v="2025-08-11T00:00:00"/>
  </r>
  <r>
    <n v="89"/>
    <x v="0"/>
    <x v="0"/>
    <n v="23000"/>
    <d v="2025-09-01T00:00:00"/>
  </r>
  <r>
    <n v="90"/>
    <x v="0"/>
    <x v="1"/>
    <n v="0"/>
    <d v="2025-09-02T00:00:00"/>
  </r>
  <r>
    <n v="91"/>
    <x v="0"/>
    <x v="2"/>
    <n v="0"/>
    <d v="2025-09-03T00:00:00"/>
  </r>
  <r>
    <n v="92"/>
    <x v="0"/>
    <x v="3"/>
    <n v="32000"/>
    <d v="2025-09-04T00:00:00"/>
  </r>
  <r>
    <n v="93"/>
    <x v="1"/>
    <x v="4"/>
    <n v="0"/>
    <d v="2025-09-05T00:00:00"/>
  </r>
  <r>
    <n v="94"/>
    <x v="1"/>
    <x v="5"/>
    <n v="1200"/>
    <d v="2025-09-06T00:00:00"/>
  </r>
  <r>
    <n v="95"/>
    <x v="1"/>
    <x v="6"/>
    <n v="2500"/>
    <d v="2025-09-07T00:00:00"/>
  </r>
  <r>
    <n v="96"/>
    <x v="1"/>
    <x v="7"/>
    <n v="1800"/>
    <d v="2025-09-08T00:00:00"/>
  </r>
  <r>
    <n v="97"/>
    <x v="1"/>
    <x v="8"/>
    <n v="1000"/>
    <d v="2025-09-09T00:00:00"/>
  </r>
  <r>
    <n v="98"/>
    <x v="1"/>
    <x v="9"/>
    <n v="14000"/>
    <d v="2025-09-10T00:00:00"/>
  </r>
  <r>
    <n v="99"/>
    <x v="1"/>
    <x v="10"/>
    <n v="100"/>
    <d v="2025-09-11T00:00:00"/>
  </r>
  <r>
    <n v="100"/>
    <x v="0"/>
    <x v="0"/>
    <n v="30000"/>
    <d v="2025-10-01T00:00:00"/>
  </r>
  <r>
    <n v="101"/>
    <x v="0"/>
    <x v="1"/>
    <n v="0"/>
    <d v="2025-10-02T00:00:00"/>
  </r>
  <r>
    <n v="102"/>
    <x v="0"/>
    <x v="2"/>
    <n v="0"/>
    <d v="2025-10-03T00:00:00"/>
  </r>
  <r>
    <n v="103"/>
    <x v="0"/>
    <x v="3"/>
    <n v="16000"/>
    <d v="2025-10-04T00:00:00"/>
  </r>
  <r>
    <n v="104"/>
    <x v="1"/>
    <x v="4"/>
    <n v="0"/>
    <d v="2025-10-05T00:00:00"/>
  </r>
  <r>
    <n v="105"/>
    <x v="1"/>
    <x v="5"/>
    <n v="1200"/>
    <d v="2025-10-06T00:00:00"/>
  </r>
  <r>
    <n v="106"/>
    <x v="1"/>
    <x v="6"/>
    <n v="2000"/>
    <d v="2025-10-07T00:00:00"/>
  </r>
  <r>
    <n v="107"/>
    <x v="1"/>
    <x v="7"/>
    <n v="1000"/>
    <d v="2025-10-08T00:00:00"/>
  </r>
  <r>
    <n v="108"/>
    <x v="1"/>
    <x v="8"/>
    <n v="1000"/>
    <d v="2025-10-09T00:00:00"/>
  </r>
  <r>
    <n v="109"/>
    <x v="1"/>
    <x v="9"/>
    <n v="14000"/>
    <d v="2025-10-10T00:00:00"/>
  </r>
  <r>
    <n v="110"/>
    <x v="1"/>
    <x v="10"/>
    <n v="800"/>
    <d v="2025-10-11T00:00:00"/>
  </r>
  <r>
    <n v="111"/>
    <x v="0"/>
    <x v="0"/>
    <n v="25000"/>
    <d v="2025-11-01T00:00:00"/>
  </r>
  <r>
    <n v="112"/>
    <x v="0"/>
    <x v="1"/>
    <n v="0"/>
    <d v="2025-11-02T00:00:00"/>
  </r>
  <r>
    <n v="113"/>
    <x v="0"/>
    <x v="2"/>
    <n v="0"/>
    <d v="2025-11-03T00:00:00"/>
  </r>
  <r>
    <n v="114"/>
    <x v="0"/>
    <x v="3"/>
    <n v="14000"/>
    <d v="2025-11-04T00:00:00"/>
  </r>
  <r>
    <n v="115"/>
    <x v="1"/>
    <x v="4"/>
    <n v="0"/>
    <d v="2025-11-05T00:00:00"/>
  </r>
  <r>
    <n v="116"/>
    <x v="1"/>
    <x v="5"/>
    <n v="1200"/>
    <d v="2025-11-06T00:00:00"/>
  </r>
  <r>
    <n v="117"/>
    <x v="1"/>
    <x v="6"/>
    <n v="2200"/>
    <d v="2025-11-07T00:00:00"/>
  </r>
  <r>
    <n v="118"/>
    <x v="1"/>
    <x v="7"/>
    <n v="1300"/>
    <d v="2025-11-08T00:00:00"/>
  </r>
  <r>
    <n v="119"/>
    <x v="1"/>
    <x v="8"/>
    <n v="1000"/>
    <d v="2025-11-09T00:00:00"/>
  </r>
  <r>
    <n v="120"/>
    <x v="1"/>
    <x v="9"/>
    <n v="14000"/>
    <d v="2025-11-10T00:00:00"/>
  </r>
  <r>
    <n v="121"/>
    <x v="1"/>
    <x v="10"/>
    <n v="400"/>
    <d v="2025-11-11T00:00:00"/>
  </r>
  <r>
    <n v="122"/>
    <x v="0"/>
    <x v="0"/>
    <n v="18000"/>
    <d v="2025-12-01T00:00:00"/>
  </r>
  <r>
    <n v="123"/>
    <x v="0"/>
    <x v="1"/>
    <n v="5000"/>
    <d v="2025-12-02T00:00:00"/>
  </r>
  <r>
    <n v="124"/>
    <x v="0"/>
    <x v="2"/>
    <n v="0"/>
    <d v="2025-12-03T00:00:00"/>
  </r>
  <r>
    <n v="125"/>
    <x v="0"/>
    <x v="3"/>
    <n v="12000"/>
    <d v="2025-12-04T00:00:00"/>
  </r>
  <r>
    <n v="126"/>
    <x v="1"/>
    <x v="4"/>
    <n v="0"/>
    <d v="2025-12-05T00:00:00"/>
  </r>
  <r>
    <n v="127"/>
    <x v="1"/>
    <x v="5"/>
    <n v="1200"/>
    <d v="2025-12-06T00:00:00"/>
  </r>
  <r>
    <n v="128"/>
    <x v="1"/>
    <x v="6"/>
    <n v="1300"/>
    <d v="2025-12-07T00:00:00"/>
  </r>
  <r>
    <n v="129"/>
    <x v="1"/>
    <x v="7"/>
    <n v="1000"/>
    <d v="2025-12-08T00:00:00"/>
  </r>
  <r>
    <n v="130"/>
    <x v="1"/>
    <x v="8"/>
    <n v="1000"/>
    <d v="2025-12-09T00:00:00"/>
  </r>
  <r>
    <n v="131"/>
    <x v="1"/>
    <x v="9"/>
    <n v="14000"/>
    <d v="2025-12-10T00:00:00"/>
  </r>
  <r>
    <n v="132"/>
    <x v="1"/>
    <x v="10"/>
    <n v="500"/>
    <d v="2025-12-11T00:00: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n v="18001"/>
    <s v="JAY PRAKASH"/>
    <s v="SHASHIKANT DIXIT"/>
    <s v="Male"/>
    <x v="0"/>
    <s v="01-01-24"/>
    <n v="4400"/>
    <n v="1576"/>
    <x v="0"/>
  </r>
  <r>
    <n v="18002"/>
    <s v="ANOOP KUMAR"/>
    <s v="SHRIPAL"/>
    <s v="Male"/>
    <x v="1"/>
    <s v="02-01-24"/>
    <n v="4400"/>
    <n v="4736"/>
    <x v="1"/>
  </r>
  <r>
    <n v="18003"/>
    <s v="LAREB KHAN"/>
    <s v="NASHIM ALI"/>
    <s v="Male"/>
    <x v="0"/>
    <s v="02-01-24"/>
    <n v="4400"/>
    <n v="2113"/>
    <x v="2"/>
  </r>
  <r>
    <n v="18004"/>
    <s v="PAVAN PRATAP KUMAR"/>
    <s v="TRIBHUVAN LAL"/>
    <s v="Male"/>
    <x v="2"/>
    <s v="02-01-24"/>
    <n v="4400"/>
    <n v="3998"/>
    <x v="2"/>
  </r>
  <r>
    <n v="18005"/>
    <s v="SAHIL KHAN"/>
    <s v="GOKUL PRASAD"/>
    <s v="Male"/>
    <x v="0"/>
    <s v="02-01-24"/>
    <n v="4400"/>
    <n v="3918"/>
    <x v="2"/>
  </r>
  <r>
    <n v="18006"/>
    <s v="SHAIWAM"/>
    <s v="DEVENDAR SINGH"/>
    <s v="Male"/>
    <x v="3"/>
    <s v="02-01-24"/>
    <n v="4400"/>
    <n v="3170"/>
    <x v="2"/>
  </r>
  <r>
    <n v="18007"/>
    <s v="BABLU KUMAR"/>
    <s v="BAGISH KUMAR MISHRA"/>
    <s v="Male"/>
    <x v="0"/>
    <s v="03-01-24"/>
    <n v="4400"/>
    <n v="2647"/>
    <x v="2"/>
  </r>
  <r>
    <n v="18008"/>
    <s v="JAKELI KHAN"/>
    <s v="RAM LAKHAN"/>
    <s v="Female"/>
    <x v="4"/>
    <s v="03-01-24"/>
    <n v="4400"/>
    <n v="2159"/>
    <x v="2"/>
  </r>
  <r>
    <n v="18009"/>
    <s v="PRACHI SINGH"/>
    <s v="BRAMHIT KASHYAP"/>
    <s v="Male"/>
    <x v="0"/>
    <s v="03-01-24"/>
    <n v="4400"/>
    <n v="2581"/>
    <x v="0"/>
  </r>
  <r>
    <n v="18010"/>
    <s v="SANDEEP KUMAR"/>
    <s v="RAM KHELAVAN"/>
    <s v="Female"/>
    <x v="0"/>
    <s v="03-01-24"/>
    <n v="4400"/>
    <n v="3093"/>
    <x v="2"/>
  </r>
  <r>
    <n v="18011"/>
    <s v="ABHISHEK SINGH"/>
    <s v="VINOD KUMAR"/>
    <s v="Male"/>
    <x v="4"/>
    <s v="03-01-24"/>
    <n v="4400"/>
    <n v="4350"/>
    <x v="1"/>
  </r>
  <r>
    <n v="18012"/>
    <s v="PARAKJ KUMAR"/>
    <s v="SHAUKAT ALI"/>
    <s v="Male"/>
    <x v="0"/>
    <s v="05-01-24"/>
    <n v="4400"/>
    <n v="4381"/>
    <x v="2"/>
  </r>
  <r>
    <n v="18013"/>
    <s v="ARUN KUMAR RAJ"/>
    <s v="SHAMSHUL HAQ"/>
    <s v="Female"/>
    <x v="0"/>
    <s v="05-01-24"/>
    <n v="4400"/>
    <n v="2379"/>
    <x v="0"/>
  </r>
  <r>
    <n v="18014"/>
    <s v="MNO. KAUSEN RAZA"/>
    <s v="SANTOSH GAUTAM"/>
    <s v="Female"/>
    <x v="4"/>
    <s v="05-01-24"/>
    <n v="4400"/>
    <n v="3764"/>
    <x v="2"/>
  </r>
  <r>
    <n v="18015"/>
    <s v="NAND LAL"/>
    <s v="HETRAM"/>
    <s v="Female"/>
    <x v="4"/>
    <s v="05-01-24"/>
    <n v="4400"/>
    <n v="4337"/>
    <x v="3"/>
  </r>
  <r>
    <n v="18016"/>
    <s v="ASHOK KUMAR"/>
    <s v="CHANDRA BHAL"/>
    <s v="Male"/>
    <x v="5"/>
    <s v="18-01-24"/>
    <n v="5500"/>
    <n v="4744"/>
    <x v="4"/>
  </r>
  <r>
    <n v="18017"/>
    <s v="GAYATRI DEVI"/>
    <s v="TAHEZEB KHAN"/>
    <s v="Female"/>
    <x v="6"/>
    <s v="18-01-24"/>
    <n v="5500"/>
    <n v="3165"/>
    <x v="2"/>
  </r>
  <r>
    <n v="18018"/>
    <s v="JANARDAN PAL"/>
    <s v="RADHEY SHYAM MAURYA"/>
    <s v="Female"/>
    <x v="5"/>
    <s v="18-01-24"/>
    <n v="5500"/>
    <n v="3674"/>
    <x v="2"/>
  </r>
  <r>
    <n v="18019"/>
    <s v="APOORVA VERMA"/>
    <s v="ANIL KUMAR MAURYA"/>
    <s v="Male"/>
    <x v="6"/>
    <s v="19-01-24"/>
    <n v="5500"/>
    <n v="4326"/>
    <x v="2"/>
  </r>
  <r>
    <n v="18020"/>
    <s v="SANJAY KUMAR"/>
    <s v="JAGDISH PRASAD MAURYA"/>
    <s v="Male"/>
    <x v="7"/>
    <s v="20-01-24"/>
    <n v="5500"/>
    <n v="4938"/>
    <x v="3"/>
  </r>
  <r>
    <n v="18021"/>
    <s v="SUNEL KUMAR"/>
    <s v="RAM MURTI"/>
    <s v="Male"/>
    <x v="5"/>
    <s v="20-01-24"/>
    <n v="5500"/>
    <n v="1803"/>
    <x v="5"/>
  </r>
  <r>
    <n v="18022"/>
    <s v="AJAY KUMAR"/>
    <s v="SANTOSH KISHAD"/>
    <s v="Male"/>
    <x v="8"/>
    <s v="20-01-24"/>
    <n v="5500"/>
    <n v="3373"/>
    <x v="3"/>
  </r>
  <r>
    <n v="18023"/>
    <s v="DEEPAK KUMAR"/>
    <s v="AWDESH KUMAR MISHRA"/>
    <s v="Male"/>
    <x v="5"/>
    <s v="20-01-24"/>
    <n v="5500"/>
    <n v="411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AFD863-2846-481C-84A9-A85339CAA4DC}" name="PivotTable1" cacheId="0"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K4:U12" firstHeaderRow="1" firstDataRow="2" firstDataCol="1"/>
  <pivotFields count="9">
    <pivotField dataField="1" showAll="0" countASubtotal="1">
      <items count="24">
        <item x="0"/>
        <item x="1"/>
        <item x="2"/>
        <item x="3"/>
        <item x="4"/>
        <item x="5"/>
        <item x="6"/>
        <item x="7"/>
        <item x="8"/>
        <item x="9"/>
        <item x="10"/>
        <item x="11"/>
        <item x="12"/>
        <item x="13"/>
        <item x="14"/>
        <item x="15"/>
        <item x="16"/>
        <item x="17"/>
        <item x="18"/>
        <item x="19"/>
        <item x="20"/>
        <item x="21"/>
        <item x="22"/>
        <item t="countA"/>
      </items>
    </pivotField>
    <pivotField showAll="0"/>
    <pivotField showAll="0"/>
    <pivotField showAll="0">
      <items count="3">
        <item x="1"/>
        <item x="0"/>
        <item t="default"/>
      </items>
    </pivotField>
    <pivotField axis="axisCol" showAll="0">
      <items count="10">
        <item x="1"/>
        <item x="5"/>
        <item x="0"/>
        <item x="7"/>
        <item x="3"/>
        <item x="6"/>
        <item x="4"/>
        <item x="2"/>
        <item x="8"/>
        <item t="default"/>
      </items>
    </pivotField>
    <pivotField showAll="0"/>
    <pivotField showAll="0"/>
    <pivotField showAll="0"/>
    <pivotField axis="axisRow" showAll="0">
      <items count="7">
        <item x="1"/>
        <item x="0"/>
        <item x="4"/>
        <item x="3"/>
        <item x="5"/>
        <item x="2"/>
        <item t="default"/>
      </items>
    </pivotField>
  </pivotFields>
  <rowFields count="1">
    <field x="8"/>
  </rowFields>
  <rowItems count="7">
    <i>
      <x/>
    </i>
    <i>
      <x v="1"/>
    </i>
    <i>
      <x v="2"/>
    </i>
    <i>
      <x v="3"/>
    </i>
    <i>
      <x v="4"/>
    </i>
    <i>
      <x v="5"/>
    </i>
    <i t="grand">
      <x/>
    </i>
  </rowItems>
  <colFields count="1">
    <field x="4"/>
  </colFields>
  <colItems count="10">
    <i>
      <x/>
    </i>
    <i>
      <x v="1"/>
    </i>
    <i>
      <x v="2"/>
    </i>
    <i>
      <x v="3"/>
    </i>
    <i>
      <x v="4"/>
    </i>
    <i>
      <x v="5"/>
    </i>
    <i>
      <x v="6"/>
    </i>
    <i>
      <x v="7"/>
    </i>
    <i>
      <x v="8"/>
    </i>
    <i t="grand">
      <x/>
    </i>
  </colItems>
  <dataFields count="1">
    <dataField name="Count of Roll_No" fld="0" subtotal="count" baseField="8" baseItem="0"/>
  </dataFields>
  <formats count="6">
    <format dxfId="17">
      <pivotArea outline="0" collapsedLevelsAreSubtotals="1" fieldPosition="0"/>
    </format>
    <format dxfId="16">
      <pivotArea field="8" type="button" dataOnly="0" labelOnly="1" outline="0" axis="axisRow" fieldPosition="0"/>
    </format>
    <format dxfId="15">
      <pivotArea dataOnly="0" labelOnly="1" fieldPosition="0">
        <references count="1">
          <reference field="8" count="0"/>
        </references>
      </pivotArea>
    </format>
    <format dxfId="14">
      <pivotArea dataOnly="0" labelOnly="1" grandRow="1" outline="0" fieldPosition="0"/>
    </format>
    <format dxfId="13">
      <pivotArea dataOnly="0" labelOnly="1" fieldPosition="0">
        <references count="1">
          <reference field="4" count="0"/>
        </references>
      </pivotArea>
    </format>
    <format dxfId="1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694ECE-8C91-4D23-90A8-A246AF5CD2E6}"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H8" firstHeaderRow="1" firstDataRow="1" firstDataCol="1"/>
  <pivotFields count="5">
    <pivotField showAll="0"/>
    <pivotField axis="axisRow" showAll="0">
      <items count="3">
        <item h="1" x="1"/>
        <item x="0"/>
        <item t="default" sd="0"/>
      </items>
    </pivotField>
    <pivotField axis="axisRow" showAll="0">
      <items count="12">
        <item x="0"/>
        <item x="1"/>
        <item x="6"/>
        <item x="8"/>
        <item x="3"/>
        <item x="10"/>
        <item x="9"/>
        <item x="4"/>
        <item x="5"/>
        <item x="7"/>
        <item x="2"/>
        <item t="default"/>
      </items>
    </pivotField>
    <pivotField dataField="1" showAll="0"/>
    <pivotField numFmtId="14" showAll="0"/>
  </pivotFields>
  <rowFields count="2">
    <field x="1"/>
    <field x="2"/>
  </rowFields>
  <rowItems count="6">
    <i>
      <x v="1"/>
    </i>
    <i r="1">
      <x/>
    </i>
    <i r="1">
      <x v="1"/>
    </i>
    <i r="1">
      <x v="4"/>
    </i>
    <i r="1">
      <x v="10"/>
    </i>
    <i t="grand">
      <x/>
    </i>
  </rowItems>
  <colItems count="1">
    <i/>
  </colItems>
  <dataFields count="1">
    <dataField name="Sum of Amount" fld="3"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1" count="1" selected="0">
            <x v="1"/>
          </reference>
          <reference field="2" count="1" selected="0">
            <x v="0"/>
          </reference>
        </references>
      </pivotArea>
    </chartFormat>
    <chartFormat chart="0" format="2">
      <pivotArea type="data" outline="0" fieldPosition="0">
        <references count="3">
          <reference field="4294967294" count="1" selected="0">
            <x v="0"/>
          </reference>
          <reference field="1" count="1" selected="0">
            <x v="1"/>
          </reference>
          <reference field="2" count="1" selected="0">
            <x v="1"/>
          </reference>
        </references>
      </pivotArea>
    </chartFormat>
    <chartFormat chart="0" format="3">
      <pivotArea type="data" outline="0" fieldPosition="0">
        <references count="3">
          <reference field="4294967294" count="1" selected="0">
            <x v="0"/>
          </reference>
          <reference field="1" count="1" selected="0">
            <x v="1"/>
          </reference>
          <reference field="2" count="1" selected="0">
            <x v="4"/>
          </reference>
        </references>
      </pivotArea>
    </chartFormat>
    <chartFormat chart="0" format="4">
      <pivotArea type="data" outline="0" fieldPosition="0">
        <references count="3">
          <reference field="4294967294" count="1" selected="0">
            <x v="0"/>
          </reference>
          <reference field="1" count="1" selected="0">
            <x v="1"/>
          </reference>
          <reference field="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95409F-9D7A-4E14-835D-C36B20593D19}"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17" firstHeaderRow="1" firstDataRow="1" firstDataCol="1"/>
  <pivotFields count="5">
    <pivotField showAll="0"/>
    <pivotField axis="axisRow" showAll="0">
      <items count="3">
        <item x="1"/>
        <item x="0"/>
        <item t="default"/>
      </items>
    </pivotField>
    <pivotField axis="axisRow" showAll="0">
      <items count="12">
        <item x="0"/>
        <item x="1"/>
        <item x="6"/>
        <item x="8"/>
        <item x="3"/>
        <item x="10"/>
        <item x="9"/>
        <item x="4"/>
        <item x="5"/>
        <item x="7"/>
        <item x="2"/>
        <item t="default"/>
      </items>
    </pivotField>
    <pivotField dataField="1" showAll="0"/>
    <pivotField numFmtId="14" showAll="0">
      <items count="1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s>
  <rowFields count="2">
    <field x="1"/>
    <field x="2"/>
  </rowFields>
  <rowItems count="14">
    <i>
      <x/>
    </i>
    <i r="1">
      <x v="2"/>
    </i>
    <i r="1">
      <x v="3"/>
    </i>
    <i r="1">
      <x v="5"/>
    </i>
    <i r="1">
      <x v="6"/>
    </i>
    <i r="1">
      <x v="7"/>
    </i>
    <i r="1">
      <x v="8"/>
    </i>
    <i r="1">
      <x v="9"/>
    </i>
    <i>
      <x v="1"/>
    </i>
    <i r="1">
      <x/>
    </i>
    <i r="1">
      <x v="1"/>
    </i>
    <i r="1">
      <x v="4"/>
    </i>
    <i r="1">
      <x v="10"/>
    </i>
    <i t="grand">
      <x/>
    </i>
  </rowItems>
  <colItems count="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6AABE6-4AA6-4084-928F-93B74F59970D}" name="PivotTable1" cacheId="2" applyNumberFormats="0" applyBorderFormats="0" applyFontFormats="0" applyPatternFormats="0" applyAlignmentFormats="0" applyWidthHeightFormats="1" dataCaption="Values" updatedVersion="8" minRefreshableVersion="3" itemPrintTitles="1" mergeItem="1" createdVersion="8" indent="0" compact="0" compactData="0" multipleFieldFilters="0">
  <location ref="K3:N19" firstHeaderRow="1" firstDataRow="1" firstDataCol="3"/>
  <pivotFields count="10">
    <pivotField dataField="1"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9">
        <item x="1"/>
        <item x="5"/>
        <item x="0"/>
        <item x="7"/>
        <item x="3"/>
        <item x="6"/>
        <item x="4"/>
        <item x="2"/>
        <item x="8"/>
      </items>
    </pivotField>
    <pivotField compact="0" outline="0" showAll="0" defaultSubtotal="0"/>
    <pivotField compact="0" outline="0" showAll="0" defaultSubtotal="0"/>
    <pivotField compact="0" outline="0" showAll="0" defaultSubtotal="0"/>
    <pivotField axis="axisRow" compact="0" outline="0" showAll="0" defaultSubtotal="0">
      <items count="6">
        <item x="1"/>
        <item x="0"/>
        <item x="4"/>
        <item x="3"/>
        <item x="5"/>
        <item x="2"/>
      </items>
    </pivotField>
    <pivotField axis="axisRow" compact="0" outline="0" showAll="0" defaultSubtotal="0">
      <items count="2">
        <item x="0"/>
        <item x="1"/>
      </items>
    </pivotField>
  </pivotFields>
  <rowFields count="3">
    <field x="9"/>
    <field x="8"/>
    <field x="4"/>
  </rowFields>
  <rowItems count="16">
    <i>
      <x/>
      <x/>
      <x/>
    </i>
    <i r="2">
      <x v="1"/>
    </i>
    <i r="2">
      <x v="6"/>
    </i>
    <i r="1">
      <x v="1"/>
      <x v="2"/>
    </i>
    <i r="1">
      <x v="2"/>
      <x v="1"/>
    </i>
    <i>
      <x v="1"/>
      <x v="3"/>
      <x v="3"/>
    </i>
    <i r="2">
      <x v="6"/>
    </i>
    <i r="2">
      <x v="8"/>
    </i>
    <i r="1">
      <x v="4"/>
      <x v="1"/>
    </i>
    <i r="1">
      <x v="5"/>
      <x v="1"/>
    </i>
    <i r="2">
      <x v="2"/>
    </i>
    <i r="2">
      <x v="4"/>
    </i>
    <i r="2">
      <x v="5"/>
    </i>
    <i r="2">
      <x v="6"/>
    </i>
    <i r="2">
      <x v="7"/>
    </i>
    <i t="grand">
      <x/>
    </i>
  </rowItems>
  <colItems count="1">
    <i/>
  </colItems>
  <dataFields count="1">
    <dataField name="Count of Roll_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2BA80C-7F82-4A14-B861-843EAAE881AC}"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3:L10" firstHeaderRow="1" firstDataRow="1" firstDataCol="1"/>
  <pivotFields count="9">
    <pivotField showAll="0"/>
    <pivotField showAll="0"/>
    <pivotField showAll="0"/>
    <pivotField showAll="0"/>
    <pivotField showAll="0">
      <items count="10">
        <item x="1"/>
        <item x="5"/>
        <item x="0"/>
        <item x="7"/>
        <item x="3"/>
        <item x="6"/>
        <item x="4"/>
        <item x="2"/>
        <item x="8"/>
        <item t="default"/>
      </items>
    </pivotField>
    <pivotField showAll="0"/>
    <pivotField showAll="0"/>
    <pivotField dataField="1" showAll="0"/>
    <pivotField axis="axisRow" showAll="0">
      <items count="7">
        <item x="1"/>
        <item x="0"/>
        <item x="4"/>
        <item x="3"/>
        <item x="5"/>
        <item x="2"/>
        <item t="default"/>
      </items>
    </pivotField>
  </pivotFields>
  <rowFields count="1">
    <field x="8"/>
  </rowFields>
  <rowItems count="7">
    <i>
      <x/>
    </i>
    <i>
      <x v="1"/>
    </i>
    <i>
      <x v="2"/>
    </i>
    <i>
      <x v="3"/>
    </i>
    <i>
      <x v="4"/>
    </i>
    <i>
      <x v="5"/>
    </i>
    <i t="grand">
      <x/>
    </i>
  </rowItems>
  <colItems count="1">
    <i/>
  </colItems>
  <dataFields count="1">
    <dataField name="Sum of Deposit Fee" fld="7"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4FA2D4-EFCD-4774-A64E-D038553980A5}" name="PivotTable1" cacheId="5" applyNumberFormats="0" applyBorderFormats="0" applyFontFormats="0" applyPatternFormats="0" applyAlignmentFormats="0" applyWidthHeightFormats="1" dataCaption="Values" tag="a38d3aba-800c-4e29-9fba-f439bb4fc401" updatedVersion="8" minRefreshableVersion="3" useAutoFormatting="1" itemPrintTitles="1" createdVersion="8" indent="0" compact="0" compactData="0" multipleFieldFilters="0">
  <location ref="A3:C12" firstHeaderRow="1" firstDataRow="1" firstDataCol="2" rowPageCount="1" colPageCount="1"/>
  <pivotFields count="4">
    <pivotField axis="axisRow" compact="0" allDrilled="1" outline="0" subtotalTop="0" showAll="0" dataSourceSort="1" defaultSubtotal="0" defaultAttributeDrillState="1">
      <items count="8">
        <item x="0"/>
        <item x="1"/>
        <item x="2"/>
        <item x="3"/>
        <item x="4"/>
        <item x="5"/>
        <item x="6"/>
        <item x="7"/>
      </items>
    </pivotField>
    <pivotField dataField="1" compact="0" outline="0" subtotalTop="0" showAll="0" defaultSubtotal="0"/>
    <pivotField axis="axisRow" compact="0" allDrilled="1" outline="0" subtotalTop="0" showAll="0" dataSourceSort="1" defaultSubtotal="0" defaultAttributeDrillState="1">
      <items count="8">
        <item x="0"/>
        <item x="1"/>
        <item x="2"/>
        <item x="3"/>
        <item x="4"/>
        <item x="5"/>
        <item x="6"/>
        <item x="7"/>
      </items>
    </pivotField>
    <pivotField axis="axisPage" compact="0" allDrilled="1" outline="0" subtotalTop="0" showAll="0" dataSourceSort="1" defaultSubtotal="0" defaultAttributeDrillState="1"/>
  </pivotFields>
  <rowFields count="2">
    <field x="0"/>
    <field x="2"/>
  </rowFields>
  <rowItems count="9">
    <i>
      <x/>
      <x/>
    </i>
    <i>
      <x v="1"/>
      <x v="1"/>
    </i>
    <i>
      <x v="2"/>
      <x v="2"/>
    </i>
    <i>
      <x v="3"/>
      <x v="3"/>
    </i>
    <i>
      <x v="4"/>
      <x v="4"/>
    </i>
    <i>
      <x v="5"/>
      <x v="5"/>
    </i>
    <i>
      <x v="6"/>
      <x v="6"/>
    </i>
    <i>
      <x v="7"/>
      <x v="7"/>
    </i>
    <i t="grand">
      <x/>
    </i>
  </rowItems>
  <colItems count="1">
    <i/>
  </colItems>
  <pageFields count="1">
    <pageField fld="3" hier="9" name="[upciss_std_data_table_2].[Course].&amp;[ADCA-12 MONTHS]" cap="ADCA-12 MONTHS"/>
  </pageFields>
  <dataFields count="1">
    <dataField name="Sum of Total Fee" fld="1" baseField="0" baseItem="0"/>
  </dataField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pciss_std_data_table_1]"/>
        <x15:activeTabTopLevelEntity name="[upciss_std_data_table_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776CE04-BE74-4B23-B5E0-B6DD4133C8F0}" sourceName="Gender">
  <pivotTables>
    <pivotTable tabId="8" name="PivotTable1"/>
  </pivotTables>
  <data>
    <tabular pivotCacheId="37510577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ECDF91E-6EDB-446C-ADE0-A60B4B8F102A}" sourceName="Category">
  <pivotTables>
    <pivotTable tabId="11" name="PivotTable1"/>
  </pivotTables>
  <data>
    <tabular pivotCacheId="50705571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B33764A0-0E67-488C-8008-6BC712DFD052}" sourceName="Category">
  <pivotTables>
    <pivotTable tabId="13" name="PivotTable3"/>
  </pivotTables>
  <data>
    <tabular pivotCacheId="913657626">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5E40D79-BD53-45BC-AC09-4D229A97B204}" cache="Slicer_Gender"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009AED0-7323-48F6-ABF1-6C1D9937E857}" cache="Slicer_Category1" caption="Category"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1438BC6-794B-4F8E-AF99-F72EF95ECC59}" cache="Slicer_Category" caption="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195287-8EE6-4CDA-B666-4CDAB5232B7B}" name="Table1" displayName="Table1" ref="A1:I24" totalsRowShown="0" headerRowDxfId="21" headerRowBorderDxfId="20" tableBorderDxfId="19">
  <autoFilter ref="A1:I24" xr:uid="{AB195287-8EE6-4CDA-B666-4CDAB5232B7B}"/>
  <tableColumns count="9">
    <tableColumn id="1" xr3:uid="{C743524D-3E18-4D37-9DC6-B34DDD780968}" name="Roll_No"/>
    <tableColumn id="2" xr3:uid="{0A14608C-75B8-4CD6-9697-3EFEAB580A4D}" name="Name"/>
    <tableColumn id="3" xr3:uid="{C61881C3-4D4C-4715-9F54-890C55D3F6AC}" name="Father"/>
    <tableColumn id="4" xr3:uid="{307E08BD-B54B-4F2F-87A9-8E129E93DD57}" name="Gender"/>
    <tableColumn id="5" xr3:uid="{7598894A-80E4-4FE6-A8CD-446A697B2A58}" name="Course"/>
    <tableColumn id="6" xr3:uid="{4044FFE8-D6A9-452B-A9C9-FB7D85436D00}" name="Admission date"/>
    <tableColumn id="7" xr3:uid="{76A9531F-66A2-4BA8-8B30-BC706F13AB7F}" name="Total Fee"/>
    <tableColumn id="8" xr3:uid="{84D7EEEF-CFB3-4F3C-ADC0-C5510FD64652}" name="Deposit Fee" dataDxfId="18"/>
    <tableColumn id="9" xr3:uid="{52626198-8B0F-418C-B21E-BF03CEAFCE30}" name="State"/>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BA1EAE-7925-4041-A23A-F9F454F54317}" name="upciss_std_data_table_1" displayName="upciss_std_data_table_1" ref="A1:G24" totalsRowShown="0" headerRowDxfId="11" headerRowBorderDxfId="10" tableBorderDxfId="9">
  <autoFilter ref="A1:G24" xr:uid="{00BA1EAE-7925-4041-A23A-F9F454F54317}"/>
  <tableColumns count="7">
    <tableColumn id="1" xr3:uid="{589DB845-50B6-41E5-A90E-BA397CE89579}" name="SN"/>
    <tableColumn id="2" xr3:uid="{4ABA29DD-2027-4B2F-83C6-F0D0218A46DE}" name="Roll_No"/>
    <tableColumn id="3" xr3:uid="{FB15424C-9633-4CE8-8875-0CB868076AF7}" name="Name"/>
    <tableColumn id="4" xr3:uid="{7CA32EED-E190-492E-9C42-BA37436A2BF2}" name="Father"/>
    <tableColumn id="5" xr3:uid="{576DABEA-1248-43FF-91AF-37D086EEE4D0}" name="Gender"/>
    <tableColumn id="6" xr3:uid="{AB02CF8C-3DF5-47D9-8141-AAE7D3595EFB}" name="Admission date"/>
    <tableColumn id="7" xr3:uid="{3DB2FCDC-B283-4F44-AFBD-A149CE756CBE}" name="Sta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8DCDA14-4C6A-4890-8E02-DD1422F5F34D}" name="upciss_std_data_table_2" displayName="upciss_std_data_table_2" ref="A1:E24" totalsRowShown="0" headerRowDxfId="8" headerRowBorderDxfId="7" tableBorderDxfId="6">
  <autoFilter ref="A1:E24" xr:uid="{58DCDA14-4C6A-4890-8E02-DD1422F5F34D}"/>
  <tableColumns count="5">
    <tableColumn id="1" xr3:uid="{108BEF8E-AAF3-4816-86E4-AD2976D3C3A4}" name="SN"/>
    <tableColumn id="2" xr3:uid="{B982FFC1-124B-416A-9F46-709A8D7797B9}" name="Roll_No"/>
    <tableColumn id="3" xr3:uid="{F89F59DD-86C5-475D-9E47-97F3DAF03E67}" name="Course"/>
    <tableColumn id="4" xr3:uid="{AD88BDCE-DA1D-4BB2-BE16-74192D8888AC}" name="Total Fee"/>
    <tableColumn id="5" xr3:uid="{FBED48E3-5E7C-4B70-AB38-3F0152607E88}" name="Deposit Fe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E92950-6028-4650-84AD-D73E1FEA9852}" name="Table4" displayName="Table4" ref="A1:E13" totalsRowShown="0">
  <autoFilter ref="A1:E13" xr:uid="{C4E92950-6028-4650-84AD-D73E1FEA9852}"/>
  <tableColumns count="5">
    <tableColumn id="1" xr3:uid="{D306C079-84B0-4651-AE9A-0BAA9BC334CE}" name="Months"/>
    <tableColumn id="2" xr3:uid="{E2937E3A-1AC2-47AF-8786-36E8EE558BF3}" name="Students"/>
    <tableColumn id="3" xr3:uid="{FA2AF973-3436-47DB-B9B4-71369E378589}" name="Forecast(Students)">
      <calculatedColumnFormula>_xlfn.FORECAST.ETS(A2,$B$2:$B$7,$A$2:$A$7,1,1)</calculatedColumnFormula>
    </tableColumn>
    <tableColumn id="4" xr3:uid="{AC558DAF-97D9-4D24-AD6E-D945AD41F407}" name="Lower Confidence Bound(Students)" dataDxfId="5">
      <calculatedColumnFormula>C2-_xlfn.FORECAST.ETS.CONFINT(A2,$B$2:$B$7,$A$2:$A$7,0.95,1,1)</calculatedColumnFormula>
    </tableColumn>
    <tableColumn id="5" xr3:uid="{51727C78-6F9E-4B4B-AEC0-D55F789A2F6C}" name="Upper Confidence Bound(Students)" dataDxfId="4">
      <calculatedColumnFormula>C2+_xlfn.FORECAST.ETS.CONFINT(A2,$B$2:$B$7,$A$2:$A$7,0.95,1,1)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B5E385-B04B-4638-9E8A-6D4BE1621EFD}" sourceName="Date">
  <pivotTables>
    <pivotTable tabId="11" name="PivotTable1"/>
  </pivotTables>
  <state minimalRefreshVersion="6" lastRefreshVersion="6" pivotCacheId="507055712"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83739A7-9BB4-4C80-A0B4-984A561690AB}" cache="NativeTimeline_Date" caption="Date" level="2" selectionLevel="2"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youtu.be/8PProqZcq58?si=aqncFOZdvXS1_aGV"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303DD-9F97-4BB4-B630-54B1FFDB78C8}">
  <dimension ref="A2:G38"/>
  <sheetViews>
    <sheetView workbookViewId="0">
      <selection activeCell="H29" sqref="H29"/>
    </sheetView>
  </sheetViews>
  <sheetFormatPr defaultRowHeight="15"/>
  <cols>
    <col min="1" max="1" width="30" customWidth="1"/>
    <col min="2" max="2" width="7" customWidth="1"/>
    <col min="3" max="3" width="8.5703125" customWidth="1"/>
    <col min="6" max="6" width="12.7109375" bestFit="1" customWidth="1"/>
  </cols>
  <sheetData>
    <row r="2" spans="1:7">
      <c r="A2" s="76" t="s">
        <v>103</v>
      </c>
      <c r="B2" s="77"/>
      <c r="C2" s="77"/>
      <c r="D2" s="77"/>
      <c r="E2" s="77"/>
      <c r="F2" s="77"/>
      <c r="G2" s="77"/>
    </row>
    <row r="3" spans="1:7">
      <c r="A3" s="77"/>
      <c r="B3" s="77"/>
      <c r="C3" s="77"/>
      <c r="D3" s="77"/>
      <c r="E3" s="77"/>
      <c r="F3" s="77"/>
      <c r="G3" s="77"/>
    </row>
    <row r="4" spans="1:7">
      <c r="A4" s="77"/>
      <c r="B4" s="77"/>
      <c r="C4" s="77"/>
      <c r="D4" s="77"/>
      <c r="E4" s="77"/>
      <c r="F4" s="77"/>
      <c r="G4" s="77"/>
    </row>
    <row r="5" spans="1:7">
      <c r="A5" s="77"/>
      <c r="B5" s="77"/>
      <c r="C5" s="77"/>
      <c r="D5" s="77"/>
      <c r="E5" s="77"/>
      <c r="F5" s="77"/>
      <c r="G5" s="77"/>
    </row>
    <row r="6" spans="1:7">
      <c r="A6" s="77"/>
      <c r="B6" s="77"/>
      <c r="C6" s="77"/>
      <c r="D6" s="77"/>
      <c r="E6" s="77"/>
      <c r="F6" s="77"/>
      <c r="G6" s="77"/>
    </row>
    <row r="7" spans="1:7">
      <c r="A7" s="78"/>
      <c r="B7" s="78"/>
      <c r="C7" s="78"/>
      <c r="D7" s="78"/>
      <c r="E7" s="78"/>
      <c r="F7" s="78"/>
      <c r="G7" s="78"/>
    </row>
    <row r="9" spans="1:7">
      <c r="A9" t="s">
        <v>104</v>
      </c>
    </row>
    <row r="10" spans="1:7">
      <c r="A10" t="s">
        <v>105</v>
      </c>
      <c r="E10" s="79" t="s">
        <v>106</v>
      </c>
      <c r="F10" s="75"/>
    </row>
    <row r="11" spans="1:7">
      <c r="A11" t="s">
        <v>107</v>
      </c>
    </row>
    <row r="12" spans="1:7">
      <c r="A12" t="s">
        <v>108</v>
      </c>
    </row>
    <row r="14" spans="1:7">
      <c r="A14" s="11" t="s">
        <v>109</v>
      </c>
      <c r="B14" s="11" t="s">
        <v>110</v>
      </c>
      <c r="C14" s="11" t="s">
        <v>111</v>
      </c>
      <c r="D14" s="11" t="s">
        <v>112</v>
      </c>
      <c r="E14" s="11" t="s">
        <v>113</v>
      </c>
      <c r="F14" s="11" t="s">
        <v>114</v>
      </c>
    </row>
    <row r="15" spans="1:7">
      <c r="A15" t="s">
        <v>115</v>
      </c>
      <c r="B15">
        <v>3</v>
      </c>
      <c r="C15">
        <v>2500</v>
      </c>
      <c r="D15">
        <f>PRODUCT(B15:C15)</f>
        <v>7500</v>
      </c>
      <c r="E15">
        <f>D15*18/100</f>
        <v>1350</v>
      </c>
      <c r="F15">
        <f>SUM(D15:E15)</f>
        <v>8850</v>
      </c>
    </row>
    <row r="16" spans="1:7">
      <c r="A16" t="s">
        <v>116</v>
      </c>
      <c r="B16">
        <v>3</v>
      </c>
      <c r="C16">
        <v>7000</v>
      </c>
      <c r="D16">
        <f t="shared" ref="D16:D23" si="0">PRODUCT(B16:C16)</f>
        <v>21000</v>
      </c>
      <c r="E16">
        <f t="shared" ref="E16:E23" si="1">D16*18/100</f>
        <v>3780</v>
      </c>
      <c r="F16">
        <f t="shared" ref="F16:F23" si="2">SUM(D16:E16)</f>
        <v>24780</v>
      </c>
    </row>
    <row r="17" spans="1:6">
      <c r="A17" t="s">
        <v>117</v>
      </c>
      <c r="B17">
        <v>1</v>
      </c>
      <c r="C17">
        <v>30000</v>
      </c>
      <c r="D17">
        <f t="shared" si="0"/>
        <v>30000</v>
      </c>
      <c r="E17">
        <f t="shared" si="1"/>
        <v>5400</v>
      </c>
      <c r="F17">
        <f t="shared" si="2"/>
        <v>35400</v>
      </c>
    </row>
    <row r="18" spans="1:6">
      <c r="A18" t="s">
        <v>118</v>
      </c>
      <c r="B18">
        <v>2</v>
      </c>
      <c r="C18">
        <v>3500</v>
      </c>
      <c r="D18">
        <f t="shared" si="0"/>
        <v>7000</v>
      </c>
      <c r="E18">
        <f t="shared" si="1"/>
        <v>1260</v>
      </c>
      <c r="F18">
        <f t="shared" si="2"/>
        <v>8260</v>
      </c>
    </row>
    <row r="19" spans="1:6">
      <c r="A19" t="s">
        <v>119</v>
      </c>
      <c r="B19">
        <v>4</v>
      </c>
      <c r="C19">
        <v>4200</v>
      </c>
      <c r="D19">
        <f t="shared" si="0"/>
        <v>16800</v>
      </c>
      <c r="E19">
        <f t="shared" si="1"/>
        <v>3024</v>
      </c>
      <c r="F19">
        <f t="shared" si="2"/>
        <v>19824</v>
      </c>
    </row>
    <row r="20" spans="1:6">
      <c r="A20" t="s">
        <v>120</v>
      </c>
      <c r="B20">
        <v>1</v>
      </c>
      <c r="C20">
        <v>5200</v>
      </c>
      <c r="D20">
        <f>PRODUCT(B20:C20)</f>
        <v>5200</v>
      </c>
      <c r="E20">
        <f t="shared" si="1"/>
        <v>936</v>
      </c>
      <c r="F20">
        <f t="shared" si="2"/>
        <v>6136</v>
      </c>
    </row>
    <row r="21" spans="1:6">
      <c r="A21" t="s">
        <v>121</v>
      </c>
      <c r="B21">
        <v>3</v>
      </c>
      <c r="C21">
        <v>600</v>
      </c>
      <c r="D21">
        <f t="shared" si="0"/>
        <v>1800</v>
      </c>
      <c r="E21">
        <f t="shared" si="1"/>
        <v>324</v>
      </c>
      <c r="F21">
        <f t="shared" si="2"/>
        <v>2124</v>
      </c>
    </row>
    <row r="22" spans="1:6">
      <c r="A22" t="s">
        <v>122</v>
      </c>
      <c r="B22">
        <v>3</v>
      </c>
      <c r="C22">
        <v>300</v>
      </c>
      <c r="D22">
        <f t="shared" si="0"/>
        <v>900</v>
      </c>
      <c r="E22">
        <f t="shared" si="1"/>
        <v>162</v>
      </c>
      <c r="F22">
        <f t="shared" si="2"/>
        <v>1062</v>
      </c>
    </row>
    <row r="23" spans="1:6">
      <c r="A23" t="s">
        <v>123</v>
      </c>
      <c r="B23">
        <v>3</v>
      </c>
      <c r="C23">
        <v>9000</v>
      </c>
      <c r="D23">
        <f t="shared" si="0"/>
        <v>27000</v>
      </c>
      <c r="E23">
        <f t="shared" si="1"/>
        <v>4860</v>
      </c>
      <c r="F23">
        <f t="shared" si="2"/>
        <v>31860</v>
      </c>
    </row>
    <row r="27" spans="1:6">
      <c r="B27" s="12"/>
      <c r="C27" s="13" t="s">
        <v>124</v>
      </c>
      <c r="D27" s="1">
        <f>SUM(C15:C23)</f>
        <v>62300</v>
      </c>
    </row>
    <row r="28" spans="1:6">
      <c r="B28" s="80" t="s">
        <v>125</v>
      </c>
      <c r="C28" s="80"/>
      <c r="D28" s="1">
        <f>D27*9/100</f>
        <v>5607</v>
      </c>
    </row>
    <row r="29" spans="1:6">
      <c r="B29" s="80" t="s">
        <v>126</v>
      </c>
      <c r="C29" s="80"/>
      <c r="D29" s="1">
        <f>D27*9/100</f>
        <v>5607</v>
      </c>
    </row>
    <row r="30" spans="1:6">
      <c r="B30" s="81" t="s">
        <v>114</v>
      </c>
      <c r="C30" s="81"/>
      <c r="D30" s="14">
        <f>SUM(D27:D29)</f>
        <v>73514</v>
      </c>
    </row>
    <row r="34" spans="1:6">
      <c r="A34" s="73" t="s">
        <v>127</v>
      </c>
      <c r="B34" s="74"/>
      <c r="C34" s="74"/>
      <c r="E34" s="75" t="s">
        <v>128</v>
      </c>
      <c r="F34" s="75"/>
    </row>
    <row r="35" spans="1:6">
      <c r="A35" s="74"/>
      <c r="B35" s="74"/>
      <c r="C35" s="74"/>
      <c r="E35" s="75"/>
      <c r="F35" s="75"/>
    </row>
    <row r="36" spans="1:6">
      <c r="A36" s="74"/>
      <c r="B36" s="74"/>
      <c r="C36" s="74"/>
      <c r="E36" s="75"/>
      <c r="F36" s="75"/>
    </row>
    <row r="37" spans="1:6">
      <c r="A37" s="74"/>
      <c r="B37" s="74"/>
      <c r="C37" s="74"/>
      <c r="E37" s="75"/>
      <c r="F37" s="75"/>
    </row>
    <row r="38" spans="1:6">
      <c r="A38" s="74"/>
      <c r="B38" s="74"/>
      <c r="C38" s="74"/>
      <c r="E38" s="75"/>
      <c r="F38" s="75"/>
    </row>
  </sheetData>
  <mergeCells count="7">
    <mergeCell ref="A34:C38"/>
    <mergeCell ref="E34:F38"/>
    <mergeCell ref="A2:G7"/>
    <mergeCell ref="E10:F10"/>
    <mergeCell ref="B28:C28"/>
    <mergeCell ref="B29:C29"/>
    <mergeCell ref="B30:C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10C39-1944-4A7B-AA48-1E0B8837936C}">
  <dimension ref="A1:R60"/>
  <sheetViews>
    <sheetView zoomScale="98" zoomScaleNormal="98" workbookViewId="0">
      <selection activeCell="O52" sqref="O52"/>
    </sheetView>
  </sheetViews>
  <sheetFormatPr defaultRowHeight="15"/>
  <cols>
    <col min="1" max="1" width="12.28515625" customWidth="1"/>
    <col min="2" max="2" width="12.140625" customWidth="1"/>
    <col min="3" max="4" width="22.28515625" customWidth="1"/>
    <col min="5" max="5" width="10.28515625" customWidth="1"/>
    <col min="6" max="6" width="16.7109375" bestFit="1" customWidth="1"/>
    <col min="7" max="7" width="15" bestFit="1" customWidth="1"/>
    <col min="9" max="9" width="11.85546875" bestFit="1" customWidth="1"/>
    <col min="10" max="10" width="15.85546875" bestFit="1" customWidth="1"/>
    <col min="14" max="14" width="16.5703125" customWidth="1"/>
    <col min="16" max="16" width="26.85546875" customWidth="1"/>
    <col min="17" max="17" width="20.42578125" customWidth="1"/>
  </cols>
  <sheetData>
    <row r="1" spans="1:18" ht="36.75" customHeight="1">
      <c r="A1" s="84" t="s">
        <v>0</v>
      </c>
      <c r="B1" s="77"/>
      <c r="C1" s="77"/>
      <c r="D1" s="77"/>
      <c r="E1" s="77"/>
      <c r="F1" s="77"/>
      <c r="G1" s="77"/>
      <c r="H1" s="77"/>
      <c r="I1" s="77"/>
      <c r="J1" s="77"/>
      <c r="K1" s="77"/>
      <c r="L1" s="77"/>
      <c r="M1" s="77"/>
    </row>
    <row r="2" spans="1:18" ht="18.75">
      <c r="A2" s="82" t="s">
        <v>3</v>
      </c>
      <c r="B2" s="82"/>
      <c r="D2" s="82" t="s">
        <v>4</v>
      </c>
      <c r="E2" s="82"/>
      <c r="G2" s="82" t="s">
        <v>5</v>
      </c>
      <c r="H2" s="82"/>
      <c r="J2" s="82" t="s">
        <v>6</v>
      </c>
      <c r="K2" s="82"/>
      <c r="L2" s="82"/>
      <c r="N2" s="82" t="s">
        <v>11</v>
      </c>
      <c r="O2" s="82"/>
      <c r="Q2" s="82" t="s">
        <v>12</v>
      </c>
      <c r="R2" s="82"/>
    </row>
    <row r="3" spans="1:18" ht="15.75">
      <c r="A3" s="2" t="s">
        <v>1</v>
      </c>
      <c r="B3" s="2" t="s">
        <v>2</v>
      </c>
      <c r="D3" s="2" t="s">
        <v>1</v>
      </c>
      <c r="E3" s="2" t="s">
        <v>2</v>
      </c>
      <c r="G3" s="2" t="s">
        <v>1</v>
      </c>
      <c r="H3" s="2" t="s">
        <v>2</v>
      </c>
      <c r="J3" s="2" t="s">
        <v>1</v>
      </c>
      <c r="K3" s="2" t="s">
        <v>10</v>
      </c>
      <c r="L3" s="2" t="s">
        <v>2</v>
      </c>
      <c r="N3" s="2" t="s">
        <v>1</v>
      </c>
      <c r="O3" s="2" t="s">
        <v>2</v>
      </c>
      <c r="Q3" s="2" t="s">
        <v>1</v>
      </c>
      <c r="R3" s="2" t="s">
        <v>2</v>
      </c>
    </row>
    <row r="4" spans="1:18">
      <c r="A4">
        <v>8</v>
      </c>
      <c r="D4">
        <v>7</v>
      </c>
      <c r="E4">
        <f>FACT(D4)</f>
        <v>5040</v>
      </c>
      <c r="G4">
        <v>7</v>
      </c>
      <c r="H4">
        <f>ODD(G4)</f>
        <v>7</v>
      </c>
      <c r="J4">
        <v>7</v>
      </c>
      <c r="K4">
        <v>5</v>
      </c>
      <c r="L4">
        <f>POWER(J4,K4)</f>
        <v>16807</v>
      </c>
      <c r="N4">
        <v>7</v>
      </c>
      <c r="O4" t="str">
        <f>ROMAN(N4,0)</f>
        <v>VII</v>
      </c>
      <c r="Q4">
        <v>7</v>
      </c>
      <c r="R4">
        <f>SQRT(Q4)</f>
        <v>2.6457513110645907</v>
      </c>
    </row>
    <row r="5" spans="1:18">
      <c r="A5">
        <v>6</v>
      </c>
      <c r="D5">
        <v>6</v>
      </c>
      <c r="E5">
        <f t="shared" ref="E5:E12" si="0">FACT(D5)</f>
        <v>720</v>
      </c>
      <c r="G5">
        <v>6</v>
      </c>
      <c r="H5">
        <f t="shared" ref="H5:H12" si="1">ODD(G5)</f>
        <v>7</v>
      </c>
      <c r="J5">
        <v>6</v>
      </c>
      <c r="K5">
        <v>3</v>
      </c>
      <c r="L5">
        <f t="shared" ref="L5:L12" si="2">POWER(J5,K5)</f>
        <v>216</v>
      </c>
      <c r="N5">
        <v>6</v>
      </c>
      <c r="O5" t="str">
        <f t="shared" ref="O5:O12" si="3">ROMAN(N5,0)</f>
        <v>VI</v>
      </c>
      <c r="Q5">
        <v>6</v>
      </c>
      <c r="R5">
        <f t="shared" ref="R5:R12" si="4">SQRT(Q5)</f>
        <v>2.4494897427831779</v>
      </c>
    </row>
    <row r="6" spans="1:18">
      <c r="A6">
        <v>102</v>
      </c>
      <c r="D6">
        <v>102</v>
      </c>
      <c r="E6">
        <f t="shared" si="0"/>
        <v>9.6144667150351251E+161</v>
      </c>
      <c r="G6">
        <v>102</v>
      </c>
      <c r="H6">
        <f t="shared" si="1"/>
        <v>103</v>
      </c>
      <c r="J6">
        <v>102</v>
      </c>
      <c r="K6">
        <v>4</v>
      </c>
      <c r="L6">
        <f t="shared" si="2"/>
        <v>108243216</v>
      </c>
      <c r="N6">
        <v>102</v>
      </c>
      <c r="O6" t="str">
        <f t="shared" si="3"/>
        <v>CII</v>
      </c>
      <c r="Q6">
        <v>102</v>
      </c>
      <c r="R6">
        <f t="shared" si="4"/>
        <v>10.099504938362077</v>
      </c>
    </row>
    <row r="7" spans="1:18">
      <c r="A7">
        <v>10</v>
      </c>
      <c r="D7">
        <v>9</v>
      </c>
      <c r="E7">
        <f t="shared" si="0"/>
        <v>362880</v>
      </c>
      <c r="G7">
        <v>9</v>
      </c>
      <c r="H7">
        <f t="shared" si="1"/>
        <v>9</v>
      </c>
      <c r="J7">
        <v>9</v>
      </c>
      <c r="K7">
        <v>4</v>
      </c>
      <c r="L7">
        <f t="shared" si="2"/>
        <v>6561</v>
      </c>
      <c r="N7">
        <v>9</v>
      </c>
      <c r="O7" t="str">
        <f t="shared" si="3"/>
        <v>IX</v>
      </c>
      <c r="Q7">
        <v>9</v>
      </c>
      <c r="R7">
        <f t="shared" si="4"/>
        <v>3</v>
      </c>
    </row>
    <row r="8" spans="1:18">
      <c r="A8">
        <v>76</v>
      </c>
      <c r="D8">
        <v>76</v>
      </c>
      <c r="E8">
        <f t="shared" si="0"/>
        <v>1.8854947016660506E+111</v>
      </c>
      <c r="G8">
        <v>76</v>
      </c>
      <c r="H8">
        <f t="shared" si="1"/>
        <v>77</v>
      </c>
      <c r="J8">
        <v>76</v>
      </c>
      <c r="K8">
        <v>2</v>
      </c>
      <c r="L8">
        <f t="shared" si="2"/>
        <v>5776</v>
      </c>
      <c r="N8">
        <v>76</v>
      </c>
      <c r="O8" t="str">
        <f t="shared" si="3"/>
        <v>LXXVI</v>
      </c>
      <c r="Q8">
        <v>76</v>
      </c>
      <c r="R8">
        <f t="shared" si="4"/>
        <v>8.717797887081348</v>
      </c>
    </row>
    <row r="9" spans="1:18">
      <c r="A9">
        <v>40</v>
      </c>
      <c r="D9">
        <v>39</v>
      </c>
      <c r="E9">
        <f t="shared" si="0"/>
        <v>2.0397882081197447E+46</v>
      </c>
      <c r="G9">
        <v>39</v>
      </c>
      <c r="H9">
        <f t="shared" si="1"/>
        <v>39</v>
      </c>
      <c r="J9">
        <v>39</v>
      </c>
      <c r="K9">
        <v>24</v>
      </c>
      <c r="L9">
        <f t="shared" si="2"/>
        <v>1.5330296997836319E+38</v>
      </c>
      <c r="N9">
        <v>39</v>
      </c>
      <c r="O9" t="str">
        <f t="shared" si="3"/>
        <v>XXXIX</v>
      </c>
      <c r="Q9">
        <v>39</v>
      </c>
      <c r="R9">
        <f t="shared" si="4"/>
        <v>6.2449979983983983</v>
      </c>
    </row>
    <row r="10" spans="1:18">
      <c r="A10">
        <v>20</v>
      </c>
      <c r="D10">
        <v>19</v>
      </c>
      <c r="E10">
        <f t="shared" si="0"/>
        <v>1.21645100408832E+17</v>
      </c>
      <c r="G10">
        <v>19</v>
      </c>
      <c r="H10">
        <f t="shared" si="1"/>
        <v>19</v>
      </c>
      <c r="J10">
        <v>19</v>
      </c>
      <c r="K10">
        <v>9</v>
      </c>
      <c r="L10">
        <f t="shared" si="2"/>
        <v>322687697779</v>
      </c>
      <c r="N10">
        <v>19</v>
      </c>
      <c r="O10" t="str">
        <f t="shared" si="3"/>
        <v>XIX</v>
      </c>
      <c r="Q10">
        <v>19</v>
      </c>
      <c r="R10">
        <f t="shared" si="4"/>
        <v>4.358898943540674</v>
      </c>
    </row>
    <row r="11" spans="1:18">
      <c r="A11">
        <v>26</v>
      </c>
      <c r="D11">
        <v>25</v>
      </c>
      <c r="E11">
        <f t="shared" si="0"/>
        <v>1.5511210043330984E+25</v>
      </c>
      <c r="G11">
        <v>25</v>
      </c>
      <c r="H11">
        <f t="shared" si="1"/>
        <v>25</v>
      </c>
      <c r="J11">
        <v>25</v>
      </c>
      <c r="K11">
        <v>2</v>
      </c>
      <c r="L11">
        <f t="shared" si="2"/>
        <v>625</v>
      </c>
      <c r="N11">
        <v>25</v>
      </c>
      <c r="O11" t="str">
        <f t="shared" si="3"/>
        <v>XXV</v>
      </c>
      <c r="Q11">
        <v>25</v>
      </c>
      <c r="R11">
        <f t="shared" si="4"/>
        <v>5</v>
      </c>
    </row>
    <row r="12" spans="1:18">
      <c r="A12">
        <v>32</v>
      </c>
      <c r="D12">
        <v>32</v>
      </c>
      <c r="E12">
        <f t="shared" si="0"/>
        <v>2.6313083693369355E+35</v>
      </c>
      <c r="G12">
        <v>32</v>
      </c>
      <c r="H12">
        <f t="shared" si="1"/>
        <v>33</v>
      </c>
      <c r="J12">
        <v>32</v>
      </c>
      <c r="K12">
        <v>7</v>
      </c>
      <c r="L12">
        <f t="shared" si="2"/>
        <v>34359738368</v>
      </c>
      <c r="N12">
        <v>32</v>
      </c>
      <c r="O12" t="str">
        <f t="shared" si="3"/>
        <v>XXXII</v>
      </c>
      <c r="Q12">
        <v>32</v>
      </c>
      <c r="R12">
        <f t="shared" si="4"/>
        <v>5.6568542494923806</v>
      </c>
    </row>
    <row r="14" spans="1:18" ht="18.75">
      <c r="A14" s="82" t="s">
        <v>7</v>
      </c>
      <c r="B14" s="82"/>
      <c r="E14" s="82" t="s">
        <v>9</v>
      </c>
      <c r="F14" s="82"/>
      <c r="H14" s="82" t="s">
        <v>13</v>
      </c>
      <c r="I14" s="82"/>
      <c r="N14" s="82" t="s">
        <v>102</v>
      </c>
      <c r="O14" s="82"/>
    </row>
    <row r="15" spans="1:18" ht="15.75">
      <c r="A15" s="2" t="s">
        <v>15</v>
      </c>
      <c r="B15" s="2" t="s">
        <v>16</v>
      </c>
      <c r="E15" s="2" t="s">
        <v>1</v>
      </c>
      <c r="F15" s="2" t="s">
        <v>2</v>
      </c>
      <c r="H15" s="2" t="s">
        <v>1</v>
      </c>
      <c r="I15" s="2" t="s">
        <v>2</v>
      </c>
      <c r="N15" s="2" t="s">
        <v>1</v>
      </c>
    </row>
    <row r="16" spans="1:18">
      <c r="A16" t="s">
        <v>17</v>
      </c>
      <c r="B16">
        <v>3000</v>
      </c>
      <c r="E16">
        <v>7</v>
      </c>
      <c r="H16">
        <v>7</v>
      </c>
      <c r="I16">
        <f>ODD(H16)</f>
        <v>7</v>
      </c>
      <c r="N16">
        <v>7</v>
      </c>
    </row>
    <row r="17" spans="1:15">
      <c r="A17" t="s">
        <v>18</v>
      </c>
      <c r="B17">
        <v>2500</v>
      </c>
      <c r="E17">
        <v>6</v>
      </c>
      <c r="H17">
        <v>6</v>
      </c>
      <c r="I17">
        <f t="shared" ref="I17:I24" si="5">ODD(H17)</f>
        <v>7</v>
      </c>
      <c r="N17">
        <v>6</v>
      </c>
    </row>
    <row r="18" spans="1:15">
      <c r="A18" t="s">
        <v>19</v>
      </c>
      <c r="B18">
        <v>1500</v>
      </c>
      <c r="E18">
        <v>102</v>
      </c>
      <c r="H18">
        <v>102</v>
      </c>
      <c r="I18">
        <f t="shared" si="5"/>
        <v>103</v>
      </c>
      <c r="N18">
        <v>102</v>
      </c>
    </row>
    <row r="19" spans="1:15">
      <c r="A19" t="s">
        <v>17</v>
      </c>
      <c r="B19">
        <v>4500</v>
      </c>
      <c r="E19">
        <v>9</v>
      </c>
      <c r="H19">
        <v>9</v>
      </c>
      <c r="I19">
        <f t="shared" si="5"/>
        <v>9</v>
      </c>
      <c r="N19">
        <v>9</v>
      </c>
      <c r="O19" cm="1">
        <f t="array" ref="O19">_xlfn.MODE.MULT(N16:N24)</f>
        <v>76</v>
      </c>
    </row>
    <row r="20" spans="1:15">
      <c r="A20" t="s">
        <v>18</v>
      </c>
      <c r="B20">
        <v>4000</v>
      </c>
      <c r="E20">
        <v>76</v>
      </c>
      <c r="H20">
        <v>76</v>
      </c>
      <c r="I20">
        <f t="shared" si="5"/>
        <v>77</v>
      </c>
      <c r="N20">
        <v>76</v>
      </c>
    </row>
    <row r="21" spans="1:15">
      <c r="A21" t="s">
        <v>19</v>
      </c>
      <c r="B21">
        <v>2000</v>
      </c>
      <c r="E21">
        <v>39</v>
      </c>
      <c r="H21">
        <v>39</v>
      </c>
      <c r="I21">
        <f t="shared" si="5"/>
        <v>39</v>
      </c>
      <c r="N21">
        <v>39</v>
      </c>
    </row>
    <row r="22" spans="1:15">
      <c r="A22" t="s">
        <v>17</v>
      </c>
      <c r="B22">
        <v>1000</v>
      </c>
      <c r="E22">
        <v>19</v>
      </c>
      <c r="H22">
        <v>19</v>
      </c>
      <c r="I22">
        <f t="shared" si="5"/>
        <v>19</v>
      </c>
      <c r="N22">
        <v>76</v>
      </c>
    </row>
    <row r="23" spans="1:15">
      <c r="A23" t="s">
        <v>18</v>
      </c>
      <c r="B23">
        <v>1500</v>
      </c>
      <c r="E23">
        <v>25</v>
      </c>
      <c r="H23">
        <v>25</v>
      </c>
      <c r="I23">
        <f t="shared" si="5"/>
        <v>25</v>
      </c>
      <c r="N23">
        <v>25</v>
      </c>
    </row>
    <row r="24" spans="1:15">
      <c r="A24" t="s">
        <v>19</v>
      </c>
      <c r="B24">
        <v>4000</v>
      </c>
      <c r="E24">
        <v>32</v>
      </c>
      <c r="H24">
        <v>32</v>
      </c>
      <c r="I24">
        <f t="shared" si="5"/>
        <v>33</v>
      </c>
      <c r="N24">
        <v>32</v>
      </c>
    </row>
    <row r="26" spans="1:15">
      <c r="J26" s="1" t="s">
        <v>14</v>
      </c>
      <c r="K26" s="1">
        <f>SUM(H16:H24,I16:I24)</f>
        <v>634</v>
      </c>
    </row>
    <row r="27" spans="1:15" ht="18.75">
      <c r="A27" s="83" t="s">
        <v>20</v>
      </c>
      <c r="B27" s="83"/>
      <c r="C27" s="83"/>
    </row>
    <row r="29" spans="1:15">
      <c r="A29" s="3" t="s">
        <v>17</v>
      </c>
      <c r="B29" s="1">
        <f>SUMIF(A16:A24,A29,B16:B24)</f>
        <v>8500</v>
      </c>
    </row>
    <row r="30" spans="1:15">
      <c r="A30" s="4" t="s">
        <v>19</v>
      </c>
      <c r="B30" s="1">
        <f t="shared" ref="B30:B31" si="6">SUMIF(A17:A25,A30,B17:B25)</f>
        <v>7500</v>
      </c>
    </row>
    <row r="31" spans="1:15">
      <c r="A31" s="5" t="s">
        <v>19</v>
      </c>
      <c r="B31" s="1">
        <f t="shared" si="6"/>
        <v>7500</v>
      </c>
    </row>
    <row r="32" spans="1:15">
      <c r="A32" t="s">
        <v>17</v>
      </c>
      <c r="B32" s="1">
        <f>SUMIF(A16:A24,A32,B16:B24)</f>
        <v>8500</v>
      </c>
    </row>
    <row r="34" spans="1:18" ht="18.75">
      <c r="D34" s="82" t="s">
        <v>8</v>
      </c>
      <c r="E34" s="82"/>
      <c r="F34" s="82"/>
    </row>
    <row r="35" spans="1:18" ht="18.75">
      <c r="Q35" s="82" t="s">
        <v>95</v>
      </c>
      <c r="R35" s="82"/>
    </row>
    <row r="37" spans="1:18">
      <c r="A37" s="6" t="s">
        <v>21</v>
      </c>
      <c r="B37" s="6" t="s">
        <v>22</v>
      </c>
      <c r="C37" s="6" t="s">
        <v>23</v>
      </c>
      <c r="D37" s="6" t="s">
        <v>24</v>
      </c>
      <c r="E37" s="6" t="s">
        <v>25</v>
      </c>
      <c r="F37" s="6" t="s">
        <v>15</v>
      </c>
      <c r="G37" s="6" t="s">
        <v>26</v>
      </c>
      <c r="H37" s="6" t="s">
        <v>27</v>
      </c>
      <c r="I37" s="6" t="s">
        <v>28</v>
      </c>
      <c r="J37" s="6" t="s">
        <v>29</v>
      </c>
      <c r="L37" s="7"/>
    </row>
    <row r="38" spans="1:18">
      <c r="A38">
        <v>1</v>
      </c>
      <c r="B38">
        <v>18001</v>
      </c>
      <c r="C38" t="s">
        <v>30</v>
      </c>
      <c r="D38" t="s">
        <v>31</v>
      </c>
      <c r="E38" t="s">
        <v>32</v>
      </c>
      <c r="F38" t="s">
        <v>33</v>
      </c>
      <c r="G38" t="s">
        <v>34</v>
      </c>
      <c r="H38">
        <v>4400</v>
      </c>
      <c r="I38">
        <v>4000</v>
      </c>
      <c r="J38" t="s">
        <v>35</v>
      </c>
      <c r="L38" s="7"/>
    </row>
    <row r="39" spans="1:18" ht="18.75">
      <c r="A39">
        <v>2</v>
      </c>
      <c r="B39">
        <v>18002</v>
      </c>
      <c r="C39" t="s">
        <v>36</v>
      </c>
      <c r="D39" t="s">
        <v>37</v>
      </c>
      <c r="E39" t="s">
        <v>32</v>
      </c>
      <c r="F39" t="s">
        <v>33</v>
      </c>
      <c r="G39" t="s">
        <v>38</v>
      </c>
      <c r="H39">
        <v>4400</v>
      </c>
      <c r="I39">
        <v>4000</v>
      </c>
      <c r="J39" t="s">
        <v>39</v>
      </c>
      <c r="L39" s="7"/>
      <c r="N39" s="82" t="s">
        <v>93</v>
      </c>
      <c r="O39" s="82"/>
      <c r="P39" s="82"/>
      <c r="Q39" s="9" t="s">
        <v>96</v>
      </c>
      <c r="R39" s="8">
        <f>AVERAGE(I38:I60)</f>
        <v>4286.95652173913</v>
      </c>
    </row>
    <row r="40" spans="1:18">
      <c r="A40">
        <v>3</v>
      </c>
      <c r="B40">
        <v>18003</v>
      </c>
      <c r="C40" t="s">
        <v>40</v>
      </c>
      <c r="D40" t="s">
        <v>41</v>
      </c>
      <c r="E40" t="s">
        <v>32</v>
      </c>
      <c r="F40" t="s">
        <v>33</v>
      </c>
      <c r="G40" t="s">
        <v>38</v>
      </c>
      <c r="H40">
        <v>4400</v>
      </c>
      <c r="I40">
        <v>4000</v>
      </c>
      <c r="J40" t="s">
        <v>42</v>
      </c>
      <c r="L40" s="7"/>
    </row>
    <row r="41" spans="1:18" ht="18.75">
      <c r="A41">
        <v>4</v>
      </c>
      <c r="B41">
        <v>18004</v>
      </c>
      <c r="C41" t="s">
        <v>43</v>
      </c>
      <c r="D41" t="s">
        <v>44</v>
      </c>
      <c r="E41" t="s">
        <v>32</v>
      </c>
      <c r="F41" t="s">
        <v>33</v>
      </c>
      <c r="G41" t="s">
        <v>38</v>
      </c>
      <c r="H41">
        <v>4400</v>
      </c>
      <c r="I41">
        <v>4000</v>
      </c>
      <c r="J41" t="s">
        <v>42</v>
      </c>
      <c r="L41" s="7"/>
      <c r="N41" s="82" t="s">
        <v>94</v>
      </c>
      <c r="O41" s="82"/>
      <c r="P41" s="82"/>
    </row>
    <row r="42" spans="1:18">
      <c r="A42">
        <v>5</v>
      </c>
      <c r="B42">
        <v>18005</v>
      </c>
      <c r="C42" t="s">
        <v>45</v>
      </c>
      <c r="D42" t="s">
        <v>46</v>
      </c>
      <c r="E42" t="s">
        <v>32</v>
      </c>
      <c r="F42" t="s">
        <v>33</v>
      </c>
      <c r="G42" t="s">
        <v>38</v>
      </c>
      <c r="H42">
        <v>4400</v>
      </c>
      <c r="I42">
        <v>4000</v>
      </c>
      <c r="J42" t="s">
        <v>42</v>
      </c>
      <c r="L42" s="7"/>
    </row>
    <row r="43" spans="1:18" ht="21">
      <c r="A43">
        <v>6</v>
      </c>
      <c r="B43">
        <v>18006</v>
      </c>
      <c r="C43" t="s">
        <v>47</v>
      </c>
      <c r="D43" t="s">
        <v>48</v>
      </c>
      <c r="E43" t="s">
        <v>32</v>
      </c>
      <c r="F43" t="s">
        <v>33</v>
      </c>
      <c r="G43" t="s">
        <v>38</v>
      </c>
      <c r="H43">
        <v>4400</v>
      </c>
      <c r="I43">
        <v>4000</v>
      </c>
      <c r="J43" t="s">
        <v>42</v>
      </c>
      <c r="L43" s="7"/>
      <c r="N43" s="10" t="s">
        <v>70</v>
      </c>
      <c r="Q43" s="9" t="s">
        <v>97</v>
      </c>
      <c r="R43" s="8">
        <f>AVERAGEIF(J38:J60,N43,I38:I60)</f>
        <v>4533.333333333333</v>
      </c>
    </row>
    <row r="44" spans="1:18">
      <c r="A44">
        <v>7</v>
      </c>
      <c r="B44">
        <v>18007</v>
      </c>
      <c r="C44" t="s">
        <v>49</v>
      </c>
      <c r="D44" t="s">
        <v>50</v>
      </c>
      <c r="E44" t="s">
        <v>32</v>
      </c>
      <c r="F44" t="s">
        <v>33</v>
      </c>
      <c r="G44" t="s">
        <v>51</v>
      </c>
      <c r="H44">
        <v>4400</v>
      </c>
      <c r="I44">
        <v>4000</v>
      </c>
      <c r="J44" t="s">
        <v>42</v>
      </c>
      <c r="L44" s="7"/>
    </row>
    <row r="45" spans="1:18" ht="18.75">
      <c r="A45">
        <v>8</v>
      </c>
      <c r="B45">
        <v>18008</v>
      </c>
      <c r="C45" t="s">
        <v>52</v>
      </c>
      <c r="D45" t="s">
        <v>53</v>
      </c>
      <c r="E45" t="s">
        <v>54</v>
      </c>
      <c r="F45" t="s">
        <v>33</v>
      </c>
      <c r="G45" t="s">
        <v>51</v>
      </c>
      <c r="H45">
        <v>4400</v>
      </c>
      <c r="I45">
        <v>4000</v>
      </c>
      <c r="J45" t="s">
        <v>42</v>
      </c>
      <c r="L45" s="7"/>
      <c r="N45" s="82" t="s">
        <v>98</v>
      </c>
      <c r="O45" s="82"/>
      <c r="P45" s="82"/>
    </row>
    <row r="46" spans="1:18">
      <c r="A46">
        <v>9</v>
      </c>
      <c r="B46">
        <v>18009</v>
      </c>
      <c r="C46" t="s">
        <v>55</v>
      </c>
      <c r="D46" t="s">
        <v>56</v>
      </c>
      <c r="E46" t="s">
        <v>32</v>
      </c>
      <c r="F46" t="s">
        <v>33</v>
      </c>
      <c r="G46" t="s">
        <v>51</v>
      </c>
      <c r="H46">
        <v>4400</v>
      </c>
      <c r="I46">
        <v>4000</v>
      </c>
      <c r="J46" t="s">
        <v>35</v>
      </c>
      <c r="L46" s="7"/>
    </row>
    <row r="47" spans="1:18">
      <c r="A47">
        <v>10</v>
      </c>
      <c r="B47">
        <v>18010</v>
      </c>
      <c r="C47" t="s">
        <v>57</v>
      </c>
      <c r="D47" t="s">
        <v>58</v>
      </c>
      <c r="E47" t="s">
        <v>54</v>
      </c>
      <c r="F47" t="s">
        <v>33</v>
      </c>
      <c r="G47" t="s">
        <v>51</v>
      </c>
      <c r="H47">
        <v>4400</v>
      </c>
      <c r="I47">
        <v>4000</v>
      </c>
      <c r="J47" t="s">
        <v>42</v>
      </c>
      <c r="L47" s="7"/>
      <c r="N47" t="s">
        <v>35</v>
      </c>
      <c r="O47" t="s">
        <v>54</v>
      </c>
      <c r="Q47" s="9" t="s">
        <v>99</v>
      </c>
      <c r="R47">
        <f>AVERAGEIFS(I38:I60,J38:J60,N47,E38:E60,O47)</f>
        <v>3800</v>
      </c>
    </row>
    <row r="48" spans="1:18">
      <c r="A48">
        <v>11</v>
      </c>
      <c r="B48">
        <v>18011</v>
      </c>
      <c r="C48" t="s">
        <v>59</v>
      </c>
      <c r="D48" t="s">
        <v>60</v>
      </c>
      <c r="E48" t="s">
        <v>32</v>
      </c>
      <c r="F48" t="s">
        <v>33</v>
      </c>
      <c r="G48" t="s">
        <v>51</v>
      </c>
      <c r="H48">
        <v>4400</v>
      </c>
      <c r="I48">
        <v>4000</v>
      </c>
      <c r="J48" t="s">
        <v>39</v>
      </c>
      <c r="L48" s="7"/>
    </row>
    <row r="49" spans="1:18">
      <c r="A49">
        <v>12</v>
      </c>
      <c r="B49">
        <v>18012</v>
      </c>
      <c r="C49" t="s">
        <v>61</v>
      </c>
      <c r="D49" t="s">
        <v>62</v>
      </c>
      <c r="E49" t="s">
        <v>32</v>
      </c>
      <c r="F49" t="s">
        <v>33</v>
      </c>
      <c r="G49" t="s">
        <v>63</v>
      </c>
      <c r="H49">
        <v>4400</v>
      </c>
      <c r="I49">
        <v>4000</v>
      </c>
      <c r="J49" t="s">
        <v>42</v>
      </c>
      <c r="L49" s="7"/>
    </row>
    <row r="50" spans="1:18">
      <c r="A50">
        <v>13</v>
      </c>
      <c r="B50">
        <v>18013</v>
      </c>
      <c r="C50" t="s">
        <v>64</v>
      </c>
      <c r="D50" t="s">
        <v>65</v>
      </c>
      <c r="E50" t="s">
        <v>54</v>
      </c>
      <c r="F50" t="s">
        <v>33</v>
      </c>
      <c r="G50" t="s">
        <v>63</v>
      </c>
      <c r="H50">
        <v>4400</v>
      </c>
      <c r="I50">
        <v>3800</v>
      </c>
      <c r="J50" t="s">
        <v>35</v>
      </c>
      <c r="L50" s="7"/>
      <c r="N50" t="s">
        <v>42</v>
      </c>
      <c r="O50" t="s">
        <v>54</v>
      </c>
      <c r="Q50" s="9" t="s">
        <v>100</v>
      </c>
      <c r="R50">
        <f>COUNTIFS(E38:E60,O50,J38:J60,N50)</f>
        <v>5</v>
      </c>
    </row>
    <row r="51" spans="1:18">
      <c r="A51">
        <v>14</v>
      </c>
      <c r="B51">
        <v>18014</v>
      </c>
      <c r="C51" t="s">
        <v>66</v>
      </c>
      <c r="D51" t="s">
        <v>67</v>
      </c>
      <c r="E51" t="s">
        <v>54</v>
      </c>
      <c r="F51" t="s">
        <v>33</v>
      </c>
      <c r="G51" t="s">
        <v>63</v>
      </c>
      <c r="H51">
        <v>4400</v>
      </c>
      <c r="I51">
        <v>3800</v>
      </c>
      <c r="J51" t="s">
        <v>42</v>
      </c>
      <c r="L51" s="7"/>
    </row>
    <row r="52" spans="1:18">
      <c r="A52">
        <v>15</v>
      </c>
      <c r="B52">
        <v>18015</v>
      </c>
      <c r="C52" t="s">
        <v>68</v>
      </c>
      <c r="D52" t="s">
        <v>69</v>
      </c>
      <c r="E52" t="s">
        <v>54</v>
      </c>
      <c r="F52" t="s">
        <v>33</v>
      </c>
      <c r="G52" t="s">
        <v>63</v>
      </c>
      <c r="H52">
        <v>4400</v>
      </c>
      <c r="I52">
        <v>3800</v>
      </c>
      <c r="J52" t="s">
        <v>70</v>
      </c>
      <c r="L52" s="7"/>
      <c r="N52" t="s">
        <v>42</v>
      </c>
      <c r="O52" t="s">
        <v>54</v>
      </c>
      <c r="P52">
        <f>COUNTIFS(J38:J60,N52,E38:E60,O52)</f>
        <v>5</v>
      </c>
    </row>
    <row r="53" spans="1:18">
      <c r="A53">
        <v>16</v>
      </c>
      <c r="B53">
        <v>18016</v>
      </c>
      <c r="C53" t="s">
        <v>71</v>
      </c>
      <c r="D53" t="s">
        <v>72</v>
      </c>
      <c r="E53" t="s">
        <v>32</v>
      </c>
      <c r="F53" t="s">
        <v>73</v>
      </c>
      <c r="G53" t="s">
        <v>74</v>
      </c>
      <c r="H53">
        <v>5500</v>
      </c>
      <c r="I53">
        <v>4900</v>
      </c>
      <c r="J53" t="s">
        <v>75</v>
      </c>
      <c r="L53" s="7"/>
    </row>
    <row r="54" spans="1:18">
      <c r="A54">
        <v>17</v>
      </c>
      <c r="B54">
        <v>18017</v>
      </c>
      <c r="C54" t="s">
        <v>76</v>
      </c>
      <c r="D54" t="s">
        <v>77</v>
      </c>
      <c r="E54" t="s">
        <v>54</v>
      </c>
      <c r="F54" t="s">
        <v>73</v>
      </c>
      <c r="G54" t="s">
        <v>74</v>
      </c>
      <c r="H54">
        <v>5500</v>
      </c>
      <c r="I54">
        <v>4900</v>
      </c>
      <c r="J54" t="s">
        <v>42</v>
      </c>
      <c r="L54" s="7"/>
      <c r="Q54" s="9" t="s">
        <v>101</v>
      </c>
    </row>
    <row r="55" spans="1:18">
      <c r="A55">
        <v>18</v>
      </c>
      <c r="B55">
        <v>18018</v>
      </c>
      <c r="C55" t="s">
        <v>78</v>
      </c>
      <c r="D55" t="s">
        <v>79</v>
      </c>
      <c r="E55" t="s">
        <v>54</v>
      </c>
      <c r="F55" t="s">
        <v>73</v>
      </c>
      <c r="G55" t="s">
        <v>74</v>
      </c>
      <c r="H55">
        <v>5500</v>
      </c>
      <c r="I55">
        <v>4900</v>
      </c>
      <c r="J55" t="s">
        <v>42</v>
      </c>
      <c r="L55" s="7"/>
    </row>
    <row r="56" spans="1:18">
      <c r="A56">
        <v>19</v>
      </c>
      <c r="B56">
        <v>18019</v>
      </c>
      <c r="C56" t="s">
        <v>80</v>
      </c>
      <c r="D56" t="s">
        <v>81</v>
      </c>
      <c r="E56" t="s">
        <v>32</v>
      </c>
      <c r="F56" t="s">
        <v>73</v>
      </c>
      <c r="G56" t="s">
        <v>82</v>
      </c>
      <c r="H56">
        <v>5500</v>
      </c>
      <c r="I56">
        <v>4900</v>
      </c>
      <c r="J56" t="s">
        <v>42</v>
      </c>
      <c r="L56" s="7"/>
      <c r="N56" t="s">
        <v>33</v>
      </c>
      <c r="O56">
        <f>COUNTIF($F$38:$F$60,N56)</f>
        <v>15</v>
      </c>
    </row>
    <row r="57" spans="1:18">
      <c r="A57">
        <v>20</v>
      </c>
      <c r="B57">
        <v>18020</v>
      </c>
      <c r="C57" t="s">
        <v>83</v>
      </c>
      <c r="D57" t="s">
        <v>84</v>
      </c>
      <c r="E57" t="s">
        <v>32</v>
      </c>
      <c r="F57" t="s">
        <v>73</v>
      </c>
      <c r="G57" t="s">
        <v>85</v>
      </c>
      <c r="H57">
        <v>5500</v>
      </c>
      <c r="I57">
        <v>4900</v>
      </c>
      <c r="J57" t="s">
        <v>70</v>
      </c>
      <c r="L57" s="7"/>
      <c r="N57" t="s">
        <v>73</v>
      </c>
      <c r="O57">
        <f>COUNTIF($F$38:$F$60,N57)</f>
        <v>8</v>
      </c>
    </row>
    <row r="58" spans="1:18">
      <c r="A58">
        <v>21</v>
      </c>
      <c r="B58">
        <v>18021</v>
      </c>
      <c r="C58" t="s">
        <v>86</v>
      </c>
      <c r="D58" t="s">
        <v>87</v>
      </c>
      <c r="E58" t="s">
        <v>32</v>
      </c>
      <c r="F58" t="s">
        <v>73</v>
      </c>
      <c r="G58" t="s">
        <v>85</v>
      </c>
      <c r="H58">
        <v>5500</v>
      </c>
      <c r="I58">
        <v>4900</v>
      </c>
      <c r="J58" t="s">
        <v>88</v>
      </c>
      <c r="L58" s="7"/>
    </row>
    <row r="59" spans="1:18">
      <c r="A59">
        <v>22</v>
      </c>
      <c r="B59">
        <v>18022</v>
      </c>
      <c r="C59" t="s">
        <v>89</v>
      </c>
      <c r="D59" t="s">
        <v>90</v>
      </c>
      <c r="E59" t="s">
        <v>32</v>
      </c>
      <c r="F59" t="s">
        <v>73</v>
      </c>
      <c r="G59" t="s">
        <v>85</v>
      </c>
      <c r="H59">
        <v>5500</v>
      </c>
      <c r="I59">
        <v>4900</v>
      </c>
      <c r="J59" t="s">
        <v>70</v>
      </c>
      <c r="L59" s="7"/>
    </row>
    <row r="60" spans="1:18">
      <c r="A60">
        <v>23</v>
      </c>
      <c r="B60">
        <v>18023</v>
      </c>
      <c r="C60" t="s">
        <v>91</v>
      </c>
      <c r="D60" t="s">
        <v>92</v>
      </c>
      <c r="E60" t="s">
        <v>32</v>
      </c>
      <c r="F60" t="s">
        <v>73</v>
      </c>
      <c r="G60" t="s">
        <v>85</v>
      </c>
      <c r="H60">
        <v>5500</v>
      </c>
      <c r="I60">
        <v>4900</v>
      </c>
      <c r="J60" t="s">
        <v>39</v>
      </c>
      <c r="L60" s="7"/>
    </row>
  </sheetData>
  <mergeCells count="17">
    <mergeCell ref="Q35:R35"/>
    <mergeCell ref="N2:O2"/>
    <mergeCell ref="Q2:R2"/>
    <mergeCell ref="A27:C27"/>
    <mergeCell ref="A1:M1"/>
    <mergeCell ref="A2:B2"/>
    <mergeCell ref="D2:E2"/>
    <mergeCell ref="G2:H2"/>
    <mergeCell ref="A14:B14"/>
    <mergeCell ref="E14:F14"/>
    <mergeCell ref="H14:I14"/>
    <mergeCell ref="J2:L2"/>
    <mergeCell ref="N45:P45"/>
    <mergeCell ref="N14:O14"/>
    <mergeCell ref="D34:F34"/>
    <mergeCell ref="N39:P39"/>
    <mergeCell ref="N41:P41"/>
  </mergeCells>
  <dataValidations count="2">
    <dataValidation type="list" allowBlank="1" showInputMessage="1" showErrorMessage="1" sqref="N52" xr:uid="{78BF24B5-3E8C-4967-9C67-7B4ED1AA8B4A}">
      <formula1>$J$38:$J$60</formula1>
    </dataValidation>
    <dataValidation type="list" allowBlank="1" showInputMessage="1" showErrorMessage="1" sqref="O52" xr:uid="{885A9F39-62E2-4143-A1BE-29A9BE594067}">
      <formula1>$E$38:$E$60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1294E-6488-40C6-AE29-0CA749DD75F6}">
  <dimension ref="A1:Q88"/>
  <sheetViews>
    <sheetView topLeftCell="C68" workbookViewId="0">
      <selection activeCell="L79" sqref="L79"/>
    </sheetView>
  </sheetViews>
  <sheetFormatPr defaultRowHeight="15"/>
  <cols>
    <col min="1" max="1" width="20.42578125" customWidth="1"/>
    <col min="2" max="2" width="8" bestFit="1" customWidth="1"/>
    <col min="3" max="3" width="21.140625" bestFit="1" customWidth="1"/>
    <col min="4" max="4" width="23.7109375" bestFit="1" customWidth="1"/>
    <col min="5" max="5" width="9" bestFit="1" customWidth="1"/>
    <col min="6" max="7" width="16.7109375" bestFit="1" customWidth="1"/>
    <col min="8" max="9" width="12.5703125" bestFit="1" customWidth="1"/>
    <col min="10" max="10" width="15.85546875" bestFit="1" customWidth="1"/>
    <col min="11" max="11" width="11.42578125" bestFit="1" customWidth="1"/>
    <col min="12" max="12" width="12.28515625" bestFit="1" customWidth="1"/>
    <col min="13" max="13" width="17.28515625" bestFit="1" customWidth="1"/>
    <col min="14" max="14" width="20.140625" bestFit="1" customWidth="1"/>
    <col min="15" max="15" width="11.42578125" customWidth="1"/>
  </cols>
  <sheetData>
    <row r="1" spans="3:16">
      <c r="G1" s="87" t="s">
        <v>129</v>
      </c>
      <c r="H1" s="87"/>
      <c r="I1" s="87"/>
      <c r="J1" s="87"/>
      <c r="K1" s="87"/>
      <c r="L1" s="87"/>
      <c r="M1" s="87"/>
      <c r="N1" s="87"/>
      <c r="O1" s="87"/>
      <c r="P1" s="87"/>
    </row>
    <row r="2" spans="3:16">
      <c r="G2" s="87"/>
      <c r="H2" s="87"/>
      <c r="I2" s="87"/>
      <c r="J2" s="87"/>
      <c r="K2" s="87"/>
      <c r="L2" s="87"/>
      <c r="M2" s="87"/>
      <c r="N2" s="87"/>
      <c r="O2" s="87"/>
      <c r="P2" s="87"/>
    </row>
    <row r="5" spans="3:16">
      <c r="C5" s="15" t="s">
        <v>130</v>
      </c>
      <c r="D5" s="15" t="s">
        <v>23</v>
      </c>
      <c r="E5" s="15" t="s">
        <v>15</v>
      </c>
      <c r="F5" s="15" t="s">
        <v>131</v>
      </c>
      <c r="G5" s="15" t="s">
        <v>132</v>
      </c>
      <c r="J5" s="15" t="s">
        <v>23</v>
      </c>
      <c r="K5" s="15" t="s">
        <v>150</v>
      </c>
      <c r="L5" s="15" t="s">
        <v>149</v>
      </c>
      <c r="M5" s="15" t="s">
        <v>148</v>
      </c>
      <c r="O5" s="16" t="s">
        <v>151</v>
      </c>
    </row>
    <row r="6" spans="3:16">
      <c r="C6" t="s">
        <v>133</v>
      </c>
      <c r="D6" t="s">
        <v>138</v>
      </c>
      <c r="E6" t="s">
        <v>18</v>
      </c>
      <c r="F6">
        <v>25</v>
      </c>
      <c r="G6" t="s">
        <v>145</v>
      </c>
      <c r="J6" t="s">
        <v>138</v>
      </c>
      <c r="K6">
        <v>2506</v>
      </c>
      <c r="L6">
        <v>3541</v>
      </c>
      <c r="M6">
        <v>2486</v>
      </c>
      <c r="O6" s="16" t="s">
        <v>152</v>
      </c>
    </row>
    <row r="7" spans="3:16">
      <c r="C7" t="s">
        <v>134</v>
      </c>
      <c r="D7" t="s">
        <v>139</v>
      </c>
      <c r="E7" t="s">
        <v>19</v>
      </c>
      <c r="F7">
        <v>23</v>
      </c>
      <c r="G7" t="s">
        <v>146</v>
      </c>
      <c r="J7" t="s">
        <v>139</v>
      </c>
      <c r="K7">
        <v>2784</v>
      </c>
      <c r="L7">
        <v>2476</v>
      </c>
      <c r="M7">
        <v>6841</v>
      </c>
      <c r="O7" s="16" t="s">
        <v>153</v>
      </c>
    </row>
    <row r="8" spans="3:16">
      <c r="C8" t="s">
        <v>135</v>
      </c>
      <c r="D8" t="s">
        <v>140</v>
      </c>
      <c r="E8" t="s">
        <v>143</v>
      </c>
      <c r="F8">
        <v>18</v>
      </c>
      <c r="G8" t="s">
        <v>146</v>
      </c>
      <c r="J8" t="s">
        <v>140</v>
      </c>
      <c r="K8">
        <v>2681</v>
      </c>
      <c r="L8">
        <v>3614</v>
      </c>
      <c r="M8">
        <v>2167</v>
      </c>
      <c r="O8" s="16"/>
    </row>
    <row r="9" spans="3:16">
      <c r="C9" t="s">
        <v>136</v>
      </c>
      <c r="D9" t="s">
        <v>141</v>
      </c>
      <c r="E9" t="s">
        <v>18</v>
      </c>
      <c r="F9">
        <v>19</v>
      </c>
      <c r="G9" t="s">
        <v>145</v>
      </c>
      <c r="J9" t="s">
        <v>141</v>
      </c>
      <c r="K9">
        <v>2436</v>
      </c>
      <c r="L9">
        <v>2478</v>
      </c>
      <c r="M9">
        <v>1872</v>
      </c>
      <c r="O9" s="16" t="s">
        <v>154</v>
      </c>
    </row>
    <row r="10" spans="3:16">
      <c r="C10" t="s">
        <v>137</v>
      </c>
      <c r="D10" t="s">
        <v>142</v>
      </c>
      <c r="E10" t="s">
        <v>144</v>
      </c>
      <c r="F10">
        <v>18</v>
      </c>
      <c r="G10" t="s">
        <v>147</v>
      </c>
      <c r="J10" t="s">
        <v>142</v>
      </c>
      <c r="K10">
        <v>2170</v>
      </c>
      <c r="L10">
        <v>1984</v>
      </c>
      <c r="M10">
        <v>2461</v>
      </c>
      <c r="O10" s="16" t="s">
        <v>155</v>
      </c>
    </row>
    <row r="11" spans="3:16">
      <c r="O11" s="16"/>
    </row>
    <row r="12" spans="3:16">
      <c r="O12" s="16" t="s">
        <v>156</v>
      </c>
    </row>
    <row r="13" spans="3:16" ht="18.75">
      <c r="D13" s="82" t="s">
        <v>151</v>
      </c>
      <c r="E13" s="82"/>
      <c r="O13" s="16"/>
    </row>
    <row r="14" spans="3:16">
      <c r="O14" s="16" t="s">
        <v>157</v>
      </c>
    </row>
    <row r="15" spans="3:16" ht="15.75">
      <c r="D15" s="88" t="s">
        <v>159</v>
      </c>
      <c r="E15" s="88"/>
      <c r="F15" s="88"/>
      <c r="G15" s="88"/>
      <c r="H15" s="88"/>
    </row>
    <row r="17" spans="4:13" ht="15.75">
      <c r="D17" s="17" t="s">
        <v>164</v>
      </c>
      <c r="F17" s="18" t="str">
        <f>LOOKUP(D17,C6:C10,E6:E10)</f>
        <v>O-LEVEL</v>
      </c>
    </row>
    <row r="19" spans="4:13" ht="15.75">
      <c r="D19" s="88" t="s">
        <v>160</v>
      </c>
      <c r="E19" s="88"/>
      <c r="F19" s="88"/>
      <c r="G19" s="88"/>
      <c r="H19" s="88"/>
    </row>
    <row r="20" spans="4:13">
      <c r="D20" s="20" t="s">
        <v>165</v>
      </c>
      <c r="E20" s="20" t="s">
        <v>161</v>
      </c>
      <c r="F20" s="20" t="s">
        <v>162</v>
      </c>
      <c r="G20" s="20" t="s">
        <v>163</v>
      </c>
      <c r="H20" s="20" t="s">
        <v>132</v>
      </c>
    </row>
    <row r="21" spans="4:13">
      <c r="D21" s="19" t="s">
        <v>158</v>
      </c>
      <c r="E21" t="str">
        <f>LOOKUP($D$21,$C$6:$C$10,D6:D10)</f>
        <v>Riya</v>
      </c>
      <c r="F21" t="str">
        <f t="shared" ref="F21:H21" si="0">LOOKUP($D$21,$C$6:$C$10,E6:E10)</f>
        <v>CCC</v>
      </c>
      <c r="G21">
        <f t="shared" si="0"/>
        <v>18</v>
      </c>
      <c r="H21" t="str">
        <f t="shared" si="0"/>
        <v>2 To 4</v>
      </c>
    </row>
    <row r="25" spans="4:13" ht="18.75">
      <c r="D25" s="82" t="s">
        <v>152</v>
      </c>
      <c r="E25" s="82"/>
      <c r="L25" s="82" t="s">
        <v>153</v>
      </c>
      <c r="M25" s="82"/>
    </row>
    <row r="27" spans="4:13">
      <c r="D27" s="20" t="s">
        <v>165</v>
      </c>
      <c r="E27" s="20" t="s">
        <v>161</v>
      </c>
      <c r="F27" s="20" t="s">
        <v>162</v>
      </c>
      <c r="G27" s="20" t="s">
        <v>163</v>
      </c>
      <c r="H27" s="20" t="s">
        <v>132</v>
      </c>
      <c r="L27" s="15" t="s">
        <v>149</v>
      </c>
      <c r="M27">
        <f>HLOOKUP(L27,J5:M10,MATCH(L28,J5:J10,0),0)</f>
        <v>1984</v>
      </c>
    </row>
    <row r="28" spans="4:13">
      <c r="D28" t="s">
        <v>166</v>
      </c>
      <c r="E28" t="str">
        <f>VLOOKUP($D$28,$C$5:$G$10,2,0)</f>
        <v>Anaf</v>
      </c>
      <c r="F28" t="str">
        <f>VLOOKUP($D$28,$C$5:$G$10,3,0)</f>
        <v>ADCA</v>
      </c>
      <c r="G28">
        <f>VLOOKUP($D$28,$C$5:$G$10,4,0)</f>
        <v>23</v>
      </c>
      <c r="H28" t="str">
        <f>VLOOKUP($D$28,$C$5:$G$10,5,0)</f>
        <v>10 To 11</v>
      </c>
      <c r="L28" t="s">
        <v>142</v>
      </c>
    </row>
    <row r="32" spans="4:13" ht="18.75">
      <c r="D32" s="82" t="s">
        <v>155</v>
      </c>
      <c r="E32" s="82"/>
      <c r="L32" s="82" t="s">
        <v>154</v>
      </c>
      <c r="M32" s="82"/>
    </row>
    <row r="34" spans="1:17">
      <c r="D34" t="s">
        <v>158</v>
      </c>
      <c r="E34">
        <f>MATCH(D34,C6:C10,0)</f>
        <v>5</v>
      </c>
      <c r="M34" t="str">
        <f>INDEX(J5:J10,4)</f>
        <v>Maria</v>
      </c>
      <c r="N34" t="s">
        <v>167</v>
      </c>
    </row>
    <row r="35" spans="1:17">
      <c r="M35">
        <f>INDEX(C5:G10,3,4)</f>
        <v>23</v>
      </c>
      <c r="N35" t="s">
        <v>168</v>
      </c>
    </row>
    <row r="36" spans="1:17">
      <c r="D36" s="15" t="s">
        <v>130</v>
      </c>
      <c r="E36" s="15" t="s">
        <v>23</v>
      </c>
      <c r="F36" s="15" t="s">
        <v>15</v>
      </c>
      <c r="G36" s="15" t="s">
        <v>131</v>
      </c>
      <c r="H36" s="15" t="s">
        <v>132</v>
      </c>
    </row>
    <row r="37" spans="1:17">
      <c r="D37" t="s">
        <v>164</v>
      </c>
      <c r="E37" t="str">
        <f>VLOOKUP($D$37,$C$5:$G$10,MATCH(E36,$C$5:$G$5,0),0)</f>
        <v>Humaira</v>
      </c>
      <c r="F37" t="str">
        <f t="shared" ref="F37:H37" si="1">VLOOKUP($D$37,$C$5:$G$10,MATCH(F36,$C$5:$G$5,0),0)</f>
        <v>O-LEVEL</v>
      </c>
      <c r="G37">
        <f t="shared" si="1"/>
        <v>19</v>
      </c>
      <c r="H37" t="str">
        <f t="shared" si="1"/>
        <v>8 To 10</v>
      </c>
    </row>
    <row r="38" spans="1:17" ht="18.75">
      <c r="L38" s="82" t="s">
        <v>169</v>
      </c>
      <c r="M38" s="82"/>
      <c r="N38" s="82"/>
      <c r="O38" s="82"/>
      <c r="P38" s="82"/>
      <c r="Q38" s="82"/>
    </row>
    <row r="40" spans="1:17">
      <c r="L40" s="15" t="s">
        <v>130</v>
      </c>
      <c r="M40" s="15" t="s">
        <v>23</v>
      </c>
      <c r="N40" s="15" t="s">
        <v>15</v>
      </c>
    </row>
    <row r="41" spans="1:17">
      <c r="L41" t="s">
        <v>158</v>
      </c>
      <c r="M41" t="str">
        <f>IFERROR(INDEX($C$5:$G$10,MATCH($L$41,$C$5:$C$10,0),MATCH(M40,$C$5:$G$5,0)),"Student not found or wrong input")</f>
        <v>Riya</v>
      </c>
      <c r="N41" t="str">
        <f>IFERROR(INDEX($C$5:$G$10,MATCH($L$41,$C$5:$C$10,0),MATCH(N40,$C$5:$G$5,0)),"Course not found or wrong input")</f>
        <v>CCC</v>
      </c>
    </row>
    <row r="48" spans="1:17" ht="15.75">
      <c r="A48" s="22" t="s">
        <v>170</v>
      </c>
      <c r="B48" s="22" t="s">
        <v>22</v>
      </c>
      <c r="C48" s="22" t="s">
        <v>23</v>
      </c>
      <c r="D48" s="22" t="s">
        <v>24</v>
      </c>
      <c r="E48" s="22" t="s">
        <v>25</v>
      </c>
      <c r="F48" s="22" t="s">
        <v>15</v>
      </c>
      <c r="G48" s="22" t="s">
        <v>26</v>
      </c>
      <c r="H48" s="22" t="s">
        <v>27</v>
      </c>
      <c r="I48" s="22" t="s">
        <v>28</v>
      </c>
      <c r="J48" s="22" t="s">
        <v>29</v>
      </c>
      <c r="K48" s="22" t="s">
        <v>171</v>
      </c>
      <c r="L48" s="22" t="s">
        <v>189</v>
      </c>
    </row>
    <row r="49" spans="1:12">
      <c r="A49">
        <v>54682644</v>
      </c>
      <c r="B49">
        <v>18001</v>
      </c>
      <c r="C49" t="s">
        <v>30</v>
      </c>
      <c r="D49" t="s">
        <v>31</v>
      </c>
      <c r="E49" t="s">
        <v>32</v>
      </c>
      <c r="F49" t="s">
        <v>33</v>
      </c>
      <c r="G49" t="s">
        <v>34</v>
      </c>
      <c r="H49">
        <v>4400</v>
      </c>
      <c r="I49">
        <v>4000</v>
      </c>
      <c r="J49" t="s">
        <v>35</v>
      </c>
      <c r="K49" t="s">
        <v>172</v>
      </c>
      <c r="L49">
        <v>1789455829</v>
      </c>
    </row>
    <row r="50" spans="1:12">
      <c r="A50">
        <v>21457844</v>
      </c>
      <c r="B50">
        <v>18002</v>
      </c>
      <c r="C50" t="s">
        <v>36</v>
      </c>
      <c r="D50" t="s">
        <v>37</v>
      </c>
      <c r="E50" t="s">
        <v>32</v>
      </c>
      <c r="F50" t="s">
        <v>33</v>
      </c>
      <c r="G50" t="s">
        <v>38</v>
      </c>
      <c r="H50">
        <v>4400</v>
      </c>
      <c r="I50">
        <v>4000</v>
      </c>
      <c r="J50" t="s">
        <v>39</v>
      </c>
      <c r="K50" t="s">
        <v>173</v>
      </c>
      <c r="L50">
        <v>1547633284</v>
      </c>
    </row>
    <row r="51" spans="1:12">
      <c r="A51">
        <v>14267488</v>
      </c>
      <c r="B51">
        <v>18003</v>
      </c>
      <c r="C51" t="s">
        <v>40</v>
      </c>
      <c r="D51" t="s">
        <v>41</v>
      </c>
      <c r="E51" t="s">
        <v>32</v>
      </c>
      <c r="F51" t="s">
        <v>33</v>
      </c>
      <c r="G51" t="s">
        <v>38</v>
      </c>
      <c r="H51">
        <v>4400</v>
      </c>
      <c r="I51">
        <v>4000</v>
      </c>
      <c r="J51" t="s">
        <v>42</v>
      </c>
      <c r="K51" t="s">
        <v>174</v>
      </c>
      <c r="L51">
        <v>1247844593</v>
      </c>
    </row>
    <row r="52" spans="1:12">
      <c r="A52">
        <v>65478122</v>
      </c>
      <c r="B52">
        <v>18004</v>
      </c>
      <c r="C52" t="s">
        <v>43</v>
      </c>
      <c r="D52" t="s">
        <v>44</v>
      </c>
      <c r="E52" t="s">
        <v>32</v>
      </c>
      <c r="F52" t="s">
        <v>33</v>
      </c>
      <c r="G52" t="s">
        <v>38</v>
      </c>
      <c r="H52">
        <v>4400</v>
      </c>
      <c r="I52">
        <v>4000</v>
      </c>
      <c r="J52" t="s">
        <v>42</v>
      </c>
      <c r="K52" t="s">
        <v>176</v>
      </c>
      <c r="L52">
        <v>1754899263</v>
      </c>
    </row>
    <row r="53" spans="1:12">
      <c r="A53">
        <v>42578466</v>
      </c>
      <c r="B53">
        <v>18005</v>
      </c>
      <c r="C53" t="s">
        <v>45</v>
      </c>
      <c r="D53" t="s">
        <v>46</v>
      </c>
      <c r="E53" t="s">
        <v>32</v>
      </c>
      <c r="F53" t="s">
        <v>33</v>
      </c>
      <c r="G53" t="s">
        <v>38</v>
      </c>
      <c r="H53">
        <v>4400</v>
      </c>
      <c r="I53">
        <v>4000</v>
      </c>
      <c r="J53" t="s">
        <v>42</v>
      </c>
      <c r="K53" t="s">
        <v>177</v>
      </c>
      <c r="L53">
        <v>1754896925</v>
      </c>
    </row>
    <row r="54" spans="1:12">
      <c r="A54">
        <v>21469877</v>
      </c>
      <c r="B54">
        <v>18006</v>
      </c>
      <c r="C54" t="s">
        <v>47</v>
      </c>
      <c r="D54" t="s">
        <v>48</v>
      </c>
      <c r="E54" t="s">
        <v>32</v>
      </c>
      <c r="F54" t="s">
        <v>33</v>
      </c>
      <c r="G54" t="s">
        <v>38</v>
      </c>
      <c r="H54">
        <v>4400</v>
      </c>
      <c r="I54">
        <v>4000</v>
      </c>
      <c r="J54" t="s">
        <v>42</v>
      </c>
      <c r="K54" s="21" t="s">
        <v>178</v>
      </c>
      <c r="L54">
        <v>1784599268</v>
      </c>
    </row>
    <row r="55" spans="1:12">
      <c r="A55">
        <v>51428799</v>
      </c>
      <c r="B55">
        <v>18007</v>
      </c>
      <c r="C55" t="s">
        <v>49</v>
      </c>
      <c r="D55" t="s">
        <v>50</v>
      </c>
      <c r="E55" t="s">
        <v>32</v>
      </c>
      <c r="F55" t="s">
        <v>33</v>
      </c>
      <c r="G55" t="s">
        <v>51</v>
      </c>
      <c r="H55">
        <v>4400</v>
      </c>
      <c r="I55">
        <v>4000</v>
      </c>
      <c r="J55" t="s">
        <v>42</v>
      </c>
      <c r="K55" t="s">
        <v>179</v>
      </c>
      <c r="L55">
        <v>1246877692</v>
      </c>
    </row>
    <row r="56" spans="1:12">
      <c r="A56">
        <v>24547135</v>
      </c>
      <c r="B56">
        <v>18008</v>
      </c>
      <c r="C56" t="s">
        <v>52</v>
      </c>
      <c r="D56" t="s">
        <v>53</v>
      </c>
      <c r="E56" t="s">
        <v>54</v>
      </c>
      <c r="F56" t="s">
        <v>33</v>
      </c>
      <c r="G56" t="s">
        <v>51</v>
      </c>
      <c r="H56">
        <v>4400</v>
      </c>
      <c r="I56">
        <v>4000</v>
      </c>
      <c r="J56" t="s">
        <v>42</v>
      </c>
      <c r="K56" t="s">
        <v>180</v>
      </c>
      <c r="L56">
        <v>1478522439</v>
      </c>
    </row>
    <row r="57" spans="1:12">
      <c r="A57">
        <v>24578944</v>
      </c>
      <c r="B57">
        <v>18009</v>
      </c>
      <c r="C57" t="s">
        <v>55</v>
      </c>
      <c r="D57" t="s">
        <v>56</v>
      </c>
      <c r="E57" t="s">
        <v>32</v>
      </c>
      <c r="F57" t="s">
        <v>33</v>
      </c>
      <c r="G57" t="s">
        <v>51</v>
      </c>
      <c r="H57">
        <v>4400</v>
      </c>
      <c r="I57">
        <v>4000</v>
      </c>
      <c r="J57" t="s">
        <v>35</v>
      </c>
      <c r="K57" t="s">
        <v>181</v>
      </c>
      <c r="L57">
        <v>1247899654</v>
      </c>
    </row>
    <row r="58" spans="1:12">
      <c r="A58">
        <v>24576133</v>
      </c>
      <c r="B58">
        <v>18010</v>
      </c>
      <c r="C58" t="s">
        <v>57</v>
      </c>
      <c r="D58" t="s">
        <v>58</v>
      </c>
      <c r="E58" t="s">
        <v>54</v>
      </c>
      <c r="F58" t="s">
        <v>33</v>
      </c>
      <c r="G58" t="s">
        <v>51</v>
      </c>
      <c r="H58">
        <v>4400</v>
      </c>
      <c r="I58">
        <v>4000</v>
      </c>
      <c r="J58" t="s">
        <v>42</v>
      </c>
      <c r="K58" t="s">
        <v>172</v>
      </c>
      <c r="L58">
        <v>1347899524</v>
      </c>
    </row>
    <row r="59" spans="1:12">
      <c r="A59">
        <v>24576411</v>
      </c>
      <c r="B59">
        <v>18011</v>
      </c>
      <c r="C59" t="s">
        <v>59</v>
      </c>
      <c r="D59" t="s">
        <v>60</v>
      </c>
      <c r="E59" t="s">
        <v>32</v>
      </c>
      <c r="F59" t="s">
        <v>33</v>
      </c>
      <c r="G59" t="s">
        <v>51</v>
      </c>
      <c r="H59">
        <v>4400</v>
      </c>
      <c r="I59">
        <v>4000</v>
      </c>
      <c r="J59" t="s">
        <v>39</v>
      </c>
      <c r="K59" t="s">
        <v>180</v>
      </c>
      <c r="L59">
        <v>1784566239</v>
      </c>
    </row>
    <row r="60" spans="1:12">
      <c r="A60">
        <v>25476233</v>
      </c>
      <c r="B60">
        <v>18012</v>
      </c>
      <c r="C60" t="s">
        <v>61</v>
      </c>
      <c r="D60" t="s">
        <v>62</v>
      </c>
      <c r="E60" t="s">
        <v>32</v>
      </c>
      <c r="F60" t="s">
        <v>33</v>
      </c>
      <c r="G60" t="s">
        <v>63</v>
      </c>
      <c r="H60">
        <v>4400</v>
      </c>
      <c r="I60">
        <v>4000</v>
      </c>
      <c r="J60" t="s">
        <v>42</v>
      </c>
      <c r="K60" t="s">
        <v>176</v>
      </c>
      <c r="L60">
        <v>1275466389</v>
      </c>
    </row>
    <row r="61" spans="1:12">
      <c r="A61">
        <v>24897544</v>
      </c>
      <c r="B61">
        <v>18013</v>
      </c>
      <c r="C61" t="s">
        <v>64</v>
      </c>
      <c r="D61" t="s">
        <v>65</v>
      </c>
      <c r="E61" t="s">
        <v>54</v>
      </c>
      <c r="F61" t="s">
        <v>33</v>
      </c>
      <c r="G61" t="s">
        <v>63</v>
      </c>
      <c r="H61">
        <v>4400</v>
      </c>
      <c r="I61">
        <v>3800</v>
      </c>
      <c r="J61" t="s">
        <v>35</v>
      </c>
      <c r="K61" t="s">
        <v>182</v>
      </c>
      <c r="L61">
        <v>1784255689</v>
      </c>
    </row>
    <row r="62" spans="1:12">
      <c r="A62">
        <v>26398411</v>
      </c>
      <c r="B62">
        <v>18014</v>
      </c>
      <c r="C62" t="s">
        <v>66</v>
      </c>
      <c r="D62" t="s">
        <v>67</v>
      </c>
      <c r="E62" t="s">
        <v>54</v>
      </c>
      <c r="F62" t="s">
        <v>33</v>
      </c>
      <c r="G62" t="s">
        <v>63</v>
      </c>
      <c r="H62">
        <v>4400</v>
      </c>
      <c r="I62">
        <v>3800</v>
      </c>
      <c r="J62" t="s">
        <v>42</v>
      </c>
      <c r="K62" t="s">
        <v>183</v>
      </c>
      <c r="L62">
        <v>1894456632</v>
      </c>
    </row>
    <row r="63" spans="1:12">
      <c r="A63">
        <v>54894522</v>
      </c>
      <c r="B63">
        <v>18015</v>
      </c>
      <c r="C63" t="s">
        <v>68</v>
      </c>
      <c r="D63" t="s">
        <v>69</v>
      </c>
      <c r="E63" t="s">
        <v>54</v>
      </c>
      <c r="F63" t="s">
        <v>33</v>
      </c>
      <c r="G63" t="s">
        <v>63</v>
      </c>
      <c r="H63">
        <v>4400</v>
      </c>
      <c r="I63">
        <v>3800</v>
      </c>
      <c r="J63" t="s">
        <v>70</v>
      </c>
      <c r="K63" t="s">
        <v>184</v>
      </c>
      <c r="L63">
        <v>1424458726</v>
      </c>
    </row>
    <row r="64" spans="1:12">
      <c r="A64">
        <v>24687166</v>
      </c>
      <c r="B64">
        <v>18016</v>
      </c>
      <c r="C64" t="s">
        <v>71</v>
      </c>
      <c r="D64" t="s">
        <v>72</v>
      </c>
      <c r="E64" t="s">
        <v>32</v>
      </c>
      <c r="F64" t="s">
        <v>73</v>
      </c>
      <c r="G64" t="s">
        <v>74</v>
      </c>
      <c r="H64">
        <v>5500</v>
      </c>
      <c r="I64">
        <v>4900</v>
      </c>
      <c r="J64" t="s">
        <v>75</v>
      </c>
      <c r="K64" t="s">
        <v>185</v>
      </c>
      <c r="L64">
        <v>1478544268</v>
      </c>
    </row>
    <row r="65" spans="1:12">
      <c r="A65">
        <v>24587944</v>
      </c>
      <c r="B65">
        <v>18017</v>
      </c>
      <c r="C65" t="s">
        <v>76</v>
      </c>
      <c r="D65" t="s">
        <v>77</v>
      </c>
      <c r="E65" t="s">
        <v>54</v>
      </c>
      <c r="F65" t="s">
        <v>73</v>
      </c>
      <c r="G65" t="s">
        <v>74</v>
      </c>
      <c r="H65">
        <v>5500</v>
      </c>
      <c r="I65">
        <v>4900</v>
      </c>
      <c r="J65" t="s">
        <v>42</v>
      </c>
      <c r="K65" t="s">
        <v>186</v>
      </c>
      <c r="L65">
        <v>1234577486</v>
      </c>
    </row>
    <row r="66" spans="1:12">
      <c r="A66">
        <v>24561388</v>
      </c>
      <c r="B66">
        <v>18018</v>
      </c>
      <c r="C66" t="s">
        <v>78</v>
      </c>
      <c r="D66" t="s">
        <v>79</v>
      </c>
      <c r="E66" t="s">
        <v>54</v>
      </c>
      <c r="F66" t="s">
        <v>73</v>
      </c>
      <c r="G66" t="s">
        <v>74</v>
      </c>
      <c r="H66">
        <v>5500</v>
      </c>
      <c r="I66">
        <v>4900</v>
      </c>
      <c r="J66" t="s">
        <v>42</v>
      </c>
      <c r="K66" t="s">
        <v>178</v>
      </c>
      <c r="L66">
        <v>1247899653</v>
      </c>
    </row>
    <row r="67" spans="1:12">
      <c r="A67">
        <v>24576188</v>
      </c>
      <c r="B67">
        <v>18019</v>
      </c>
      <c r="C67" t="s">
        <v>80</v>
      </c>
      <c r="D67" t="s">
        <v>81</v>
      </c>
      <c r="E67" t="s">
        <v>32</v>
      </c>
      <c r="F67" t="s">
        <v>73</v>
      </c>
      <c r="G67" t="s">
        <v>82</v>
      </c>
      <c r="H67">
        <v>5500</v>
      </c>
      <c r="I67">
        <v>4900</v>
      </c>
      <c r="J67" t="s">
        <v>42</v>
      </c>
      <c r="K67" t="s">
        <v>187</v>
      </c>
      <c r="L67">
        <v>1247899546</v>
      </c>
    </row>
    <row r="68" spans="1:12">
      <c r="A68">
        <v>24687455</v>
      </c>
      <c r="B68">
        <v>18020</v>
      </c>
      <c r="C68" t="s">
        <v>83</v>
      </c>
      <c r="D68" t="s">
        <v>84</v>
      </c>
      <c r="E68" t="s">
        <v>32</v>
      </c>
      <c r="F68" t="s">
        <v>73</v>
      </c>
      <c r="G68" t="s">
        <v>85</v>
      </c>
      <c r="H68">
        <v>5500</v>
      </c>
      <c r="I68">
        <v>4900</v>
      </c>
      <c r="J68" t="s">
        <v>70</v>
      </c>
      <c r="K68" t="s">
        <v>175</v>
      </c>
      <c r="L68">
        <v>1479633243</v>
      </c>
    </row>
    <row r="69" spans="1:12">
      <c r="A69">
        <v>24571155</v>
      </c>
      <c r="B69">
        <v>18021</v>
      </c>
      <c r="C69" t="s">
        <v>86</v>
      </c>
      <c r="D69" t="s">
        <v>87</v>
      </c>
      <c r="E69" t="s">
        <v>32</v>
      </c>
      <c r="F69" t="s">
        <v>73</v>
      </c>
      <c r="G69" t="s">
        <v>85</v>
      </c>
      <c r="H69">
        <v>5500</v>
      </c>
      <c r="I69">
        <v>4900</v>
      </c>
      <c r="J69" t="s">
        <v>88</v>
      </c>
      <c r="K69" t="s">
        <v>188</v>
      </c>
      <c r="L69">
        <v>1964252416</v>
      </c>
    </row>
    <row r="70" spans="1:12">
      <c r="A70">
        <v>21146822</v>
      </c>
      <c r="B70">
        <v>18022</v>
      </c>
      <c r="C70" t="s">
        <v>89</v>
      </c>
      <c r="D70" t="s">
        <v>90</v>
      </c>
      <c r="E70" t="s">
        <v>32</v>
      </c>
      <c r="F70" t="s">
        <v>73</v>
      </c>
      <c r="G70" t="s">
        <v>85</v>
      </c>
      <c r="H70">
        <v>5500</v>
      </c>
      <c r="I70">
        <v>4900</v>
      </c>
      <c r="J70" t="s">
        <v>70</v>
      </c>
      <c r="K70" t="s">
        <v>188</v>
      </c>
      <c r="L70">
        <v>1452799365</v>
      </c>
    </row>
    <row r="71" spans="1:12">
      <c r="A71">
        <v>54614511</v>
      </c>
      <c r="B71">
        <v>18023</v>
      </c>
      <c r="C71" t="s">
        <v>91</v>
      </c>
      <c r="D71" t="s">
        <v>92</v>
      </c>
      <c r="E71" t="s">
        <v>32</v>
      </c>
      <c r="F71" t="s">
        <v>73</v>
      </c>
      <c r="G71" t="s">
        <v>85</v>
      </c>
      <c r="H71">
        <v>5500</v>
      </c>
      <c r="I71">
        <v>4900</v>
      </c>
      <c r="J71" t="s">
        <v>39</v>
      </c>
      <c r="K71" t="s">
        <v>176</v>
      </c>
      <c r="L71">
        <v>1674545249</v>
      </c>
    </row>
    <row r="74" spans="1:12" ht="18.75">
      <c r="E74" s="82" t="s">
        <v>157</v>
      </c>
      <c r="F74" s="82"/>
    </row>
    <row r="77" spans="1:12" ht="15.75">
      <c r="E77" s="22" t="s">
        <v>170</v>
      </c>
      <c r="F77" s="22" t="s">
        <v>23</v>
      </c>
      <c r="G77" s="22" t="s">
        <v>15</v>
      </c>
      <c r="H77" s="22" t="s">
        <v>171</v>
      </c>
      <c r="I77" s="22" t="s">
        <v>189</v>
      </c>
    </row>
    <row r="78" spans="1:12">
      <c r="E78">
        <v>21457844</v>
      </c>
      <c r="F78" t="str">
        <f>DGET($A$48:$L$71,F77,$E$77:$E$78)</f>
        <v>ANOOP KUMAR</v>
      </c>
      <c r="G78" t="str">
        <f t="shared" ref="G78:I78" si="2">DGET($A$48:$L$71,G77,$E$77:$E$78)</f>
        <v>ADSA-06 MONTHS</v>
      </c>
      <c r="H78" t="str">
        <f t="shared" si="2"/>
        <v>3 to 6</v>
      </c>
      <c r="I78">
        <f t="shared" si="2"/>
        <v>1547633284</v>
      </c>
    </row>
    <row r="82" spans="4:14" ht="15.75">
      <c r="K82" s="22" t="s">
        <v>189</v>
      </c>
      <c r="L82" s="22" t="s">
        <v>23</v>
      </c>
      <c r="M82" s="22" t="s">
        <v>24</v>
      </c>
      <c r="N82" s="22" t="s">
        <v>171</v>
      </c>
    </row>
    <row r="83" spans="4:14">
      <c r="K83">
        <v>1452799365</v>
      </c>
      <c r="L83" t="str">
        <f>DGET($A$48:$L$71,L82,$K$82:$K$83)</f>
        <v>AJAY KUMAR</v>
      </c>
      <c r="M83" t="str">
        <f t="shared" ref="M83:N83" si="3">DGET($A$48:$L$71,M82,$K$82:$K$83)</f>
        <v>SANTOSH KISHAD</v>
      </c>
      <c r="N83" t="str">
        <f t="shared" si="3"/>
        <v>7 to 9</v>
      </c>
    </row>
    <row r="85" spans="4:14" ht="18.75">
      <c r="F85" s="85" t="s">
        <v>191</v>
      </c>
      <c r="G85" s="85"/>
    </row>
    <row r="87" spans="4:14" ht="18.75">
      <c r="D87" s="86" t="s">
        <v>190</v>
      </c>
      <c r="E87" s="86"/>
      <c r="F87" s="86"/>
      <c r="G87" s="86"/>
      <c r="H87" s="86"/>
      <c r="I87" s="86"/>
    </row>
    <row r="88" spans="4:14" ht="18.75">
      <c r="E88" s="23"/>
      <c r="F88" s="23"/>
      <c r="G88" s="23"/>
      <c r="H88" s="23"/>
    </row>
  </sheetData>
  <mergeCells count="12">
    <mergeCell ref="G1:P2"/>
    <mergeCell ref="D13:E13"/>
    <mergeCell ref="D15:H15"/>
    <mergeCell ref="D19:H19"/>
    <mergeCell ref="D25:E25"/>
    <mergeCell ref="E74:F74"/>
    <mergeCell ref="F85:G85"/>
    <mergeCell ref="D87:I87"/>
    <mergeCell ref="D32:E32"/>
    <mergeCell ref="L25:M25"/>
    <mergeCell ref="L32:M32"/>
    <mergeCell ref="L38:Q38"/>
  </mergeCells>
  <dataValidations count="2">
    <dataValidation type="list" allowBlank="1" showInputMessage="1" showErrorMessage="1" sqref="L27" xr:uid="{69B7DEB1-3EAD-4C9D-BE8B-FC5C66067357}">
      <formula1>$K$5:$M$5</formula1>
    </dataValidation>
    <dataValidation type="list" allowBlank="1" showInputMessage="1" showErrorMessage="1" sqref="L28" xr:uid="{20DCFD32-B971-44FE-9585-16D894301E4B}">
      <formula1>$J$6:$J$10</formula1>
    </dataValidation>
  </dataValidations>
  <hyperlinks>
    <hyperlink ref="D87" r:id="rId1" xr:uid="{ADAC8BD4-486C-4409-AF39-31D5456F242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99661-AF95-48BD-91EC-D28E4DA8B42C}">
  <dimension ref="B1:P16"/>
  <sheetViews>
    <sheetView topLeftCell="J1" workbookViewId="0">
      <selection activeCell="E7" sqref="E7"/>
    </sheetView>
  </sheetViews>
  <sheetFormatPr defaultRowHeight="15"/>
  <cols>
    <col min="3" max="3" width="11.5703125" customWidth="1"/>
    <col min="5" max="5" width="18.7109375" customWidth="1"/>
    <col min="14" max="14" width="29" customWidth="1"/>
  </cols>
  <sheetData>
    <row r="1" spans="2:16" ht="18.75">
      <c r="F1" s="89" t="s">
        <v>192</v>
      </c>
      <c r="G1" s="89"/>
      <c r="H1" s="89"/>
      <c r="I1" s="89"/>
      <c r="J1" s="89"/>
      <c r="K1" s="89"/>
      <c r="L1" s="89"/>
    </row>
    <row r="4" spans="2:16" ht="18.75">
      <c r="B4" s="90" t="s">
        <v>218</v>
      </c>
      <c r="C4" s="90"/>
      <c r="D4" s="90"/>
      <c r="E4" s="90"/>
      <c r="I4" s="90" t="s">
        <v>219</v>
      </c>
      <c r="J4" s="90"/>
      <c r="M4" s="25" t="s">
        <v>205</v>
      </c>
      <c r="N4" s="25" t="s">
        <v>193</v>
      </c>
      <c r="O4" s="1"/>
      <c r="P4" s="1"/>
    </row>
    <row r="5" spans="2:16" ht="18.75">
      <c r="M5" s="25" t="s">
        <v>200</v>
      </c>
      <c r="N5" s="25" t="s">
        <v>194</v>
      </c>
      <c r="O5" s="1"/>
      <c r="P5" s="1"/>
    </row>
    <row r="6" spans="2:16" ht="18.75">
      <c r="B6" s="24" t="s">
        <v>23</v>
      </c>
      <c r="C6" s="24" t="s">
        <v>199</v>
      </c>
      <c r="D6" s="24" t="s">
        <v>206</v>
      </c>
      <c r="E6" s="24" t="s">
        <v>207</v>
      </c>
      <c r="M6" s="25" t="s">
        <v>201</v>
      </c>
      <c r="N6" s="25" t="s">
        <v>195</v>
      </c>
      <c r="O6" s="1"/>
      <c r="P6" s="1"/>
    </row>
    <row r="7" spans="2:16" ht="18.75">
      <c r="B7" t="s">
        <v>208</v>
      </c>
      <c r="C7">
        <v>726</v>
      </c>
      <c r="D7">
        <v>29620</v>
      </c>
      <c r="E7" t="b">
        <f>AND(C7&gt;=700,D7&gt;=25000)</f>
        <v>1</v>
      </c>
      <c r="M7" s="25" t="s">
        <v>202</v>
      </c>
      <c r="N7" s="25" t="s">
        <v>196</v>
      </c>
      <c r="O7" s="1"/>
      <c r="P7" s="1"/>
    </row>
    <row r="8" spans="2:16" ht="18.75">
      <c r="B8" t="s">
        <v>209</v>
      </c>
      <c r="C8">
        <v>696</v>
      </c>
      <c r="D8">
        <v>30179</v>
      </c>
      <c r="E8" t="b">
        <f t="shared" ref="E8:E16" si="0">AND(C8&gt;=700,D8&gt;=25000)</f>
        <v>0</v>
      </c>
      <c r="M8" s="25" t="s">
        <v>203</v>
      </c>
      <c r="N8" s="25" t="s">
        <v>197</v>
      </c>
      <c r="O8" s="1"/>
      <c r="P8" s="1"/>
    </row>
    <row r="9" spans="2:16" ht="18.75">
      <c r="B9" t="s">
        <v>210</v>
      </c>
      <c r="C9">
        <v>746</v>
      </c>
      <c r="D9">
        <v>33710</v>
      </c>
      <c r="E9" t="b">
        <f t="shared" si="0"/>
        <v>1</v>
      </c>
      <c r="M9" s="25" t="s">
        <v>204</v>
      </c>
      <c r="N9" s="25" t="s">
        <v>198</v>
      </c>
      <c r="O9" s="1"/>
      <c r="P9" s="1"/>
    </row>
    <row r="10" spans="2:16">
      <c r="B10" t="s">
        <v>211</v>
      </c>
      <c r="C10">
        <v>693</v>
      </c>
      <c r="D10">
        <v>24582</v>
      </c>
      <c r="E10" t="b">
        <f t="shared" si="0"/>
        <v>0</v>
      </c>
    </row>
    <row r="11" spans="2:16">
      <c r="B11" t="s">
        <v>212</v>
      </c>
      <c r="C11">
        <v>708</v>
      </c>
      <c r="D11">
        <v>27733</v>
      </c>
      <c r="E11" t="b">
        <f t="shared" si="0"/>
        <v>1</v>
      </c>
    </row>
    <row r="12" spans="2:16">
      <c r="B12" t="s">
        <v>213</v>
      </c>
      <c r="C12">
        <v>692</v>
      </c>
      <c r="D12">
        <v>19385</v>
      </c>
      <c r="E12" t="b">
        <f t="shared" si="0"/>
        <v>0</v>
      </c>
    </row>
    <row r="13" spans="2:16">
      <c r="B13" t="s">
        <v>214</v>
      </c>
      <c r="C13">
        <v>678</v>
      </c>
      <c r="D13">
        <v>32368</v>
      </c>
      <c r="E13" t="b">
        <f t="shared" si="0"/>
        <v>0</v>
      </c>
    </row>
    <row r="14" spans="2:16">
      <c r="B14" t="s">
        <v>215</v>
      </c>
      <c r="C14">
        <v>737</v>
      </c>
      <c r="D14">
        <v>29543</v>
      </c>
      <c r="E14" t="b">
        <f t="shared" si="0"/>
        <v>1</v>
      </c>
    </row>
    <row r="15" spans="2:16">
      <c r="B15" t="s">
        <v>216</v>
      </c>
      <c r="C15">
        <v>727</v>
      </c>
      <c r="D15">
        <v>19755</v>
      </c>
      <c r="E15" t="b">
        <f t="shared" si="0"/>
        <v>0</v>
      </c>
    </row>
    <row r="16" spans="2:16">
      <c r="B16" t="s">
        <v>217</v>
      </c>
      <c r="C16">
        <v>688</v>
      </c>
      <c r="D16">
        <v>34039</v>
      </c>
      <c r="E16" t="b">
        <f t="shared" si="0"/>
        <v>0</v>
      </c>
    </row>
  </sheetData>
  <mergeCells count="3">
    <mergeCell ref="F1:L1"/>
    <mergeCell ref="B4:E4"/>
    <mergeCell ref="I4:J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09E29-4294-416C-A273-C0B35115C935}">
  <dimension ref="I1:AH35"/>
  <sheetViews>
    <sheetView topLeftCell="V13" workbookViewId="0">
      <selection activeCell="AD23" sqref="AD23"/>
    </sheetView>
  </sheetViews>
  <sheetFormatPr defaultRowHeight="15"/>
  <cols>
    <col min="9" max="9" width="14" customWidth="1"/>
    <col min="16" max="16" width="18.85546875" customWidth="1"/>
    <col min="17" max="17" width="12" bestFit="1" customWidth="1"/>
    <col min="18" max="18" width="17.140625" customWidth="1"/>
    <col min="21" max="21" width="17.140625" customWidth="1"/>
    <col min="24" max="24" width="16.7109375" customWidth="1"/>
    <col min="25" max="25" width="10.42578125" bestFit="1" customWidth="1"/>
    <col min="26" max="26" width="10.5703125" bestFit="1" customWidth="1"/>
    <col min="30" max="30" width="20.28515625" customWidth="1"/>
  </cols>
  <sheetData>
    <row r="1" spans="9:27">
      <c r="N1" s="92" t="s">
        <v>220</v>
      </c>
      <c r="O1" s="92"/>
      <c r="P1" s="92"/>
      <c r="Q1" s="92"/>
      <c r="R1" s="92"/>
      <c r="S1" s="92"/>
      <c r="T1" s="92"/>
      <c r="U1" s="92"/>
    </row>
    <row r="2" spans="9:27">
      <c r="N2" s="92"/>
      <c r="O2" s="92"/>
      <c r="P2" s="92"/>
      <c r="Q2" s="92"/>
      <c r="R2" s="92"/>
      <c r="S2" s="92"/>
      <c r="T2" s="92"/>
      <c r="U2" s="92"/>
    </row>
    <row r="5" spans="9:27" ht="22.5" customHeight="1">
      <c r="I5" s="93" t="s">
        <v>221</v>
      </c>
      <c r="J5" s="93"/>
      <c r="K5" s="93"/>
      <c r="L5" s="93"/>
      <c r="M5" s="93"/>
      <c r="P5" s="91" t="s">
        <v>236</v>
      </c>
      <c r="Q5" s="91"/>
      <c r="R5" s="91"/>
      <c r="S5" s="91"/>
      <c r="X5" s="91" t="s">
        <v>236</v>
      </c>
      <c r="Y5" s="91"/>
      <c r="Z5" s="91"/>
      <c r="AA5" s="91"/>
    </row>
    <row r="6" spans="9:27">
      <c r="I6" s="27" t="s">
        <v>222</v>
      </c>
      <c r="J6" s="94" t="s">
        <v>223</v>
      </c>
      <c r="K6" s="94"/>
      <c r="L6" s="94"/>
      <c r="M6" s="94"/>
    </row>
    <row r="7" spans="9:27" ht="15.75">
      <c r="I7" s="27" t="s">
        <v>229</v>
      </c>
      <c r="J7" s="94" t="s">
        <v>235</v>
      </c>
      <c r="K7" s="94"/>
      <c r="L7" s="94"/>
      <c r="M7" s="94"/>
      <c r="P7" s="2" t="s">
        <v>237</v>
      </c>
      <c r="Q7" s="2">
        <v>600</v>
      </c>
      <c r="X7" s="2" t="s">
        <v>242</v>
      </c>
      <c r="Y7" s="2">
        <v>50000</v>
      </c>
    </row>
    <row r="8" spans="9:27" ht="15.75">
      <c r="I8" s="27" t="s">
        <v>230</v>
      </c>
      <c r="J8" s="94" t="s">
        <v>224</v>
      </c>
      <c r="K8" s="94"/>
      <c r="L8" s="94"/>
      <c r="M8" s="94"/>
      <c r="P8" s="2" t="s">
        <v>238</v>
      </c>
      <c r="Q8" s="2">
        <v>18</v>
      </c>
      <c r="X8" s="2" t="s">
        <v>238</v>
      </c>
      <c r="Y8" s="2">
        <v>18</v>
      </c>
    </row>
    <row r="9" spans="9:27" ht="15.75">
      <c r="I9" s="27" t="s">
        <v>231</v>
      </c>
      <c r="J9" s="94" t="s">
        <v>225</v>
      </c>
      <c r="K9" s="94"/>
      <c r="L9" s="94"/>
      <c r="M9" s="94"/>
      <c r="P9" s="2" t="s">
        <v>239</v>
      </c>
      <c r="Q9" s="29">
        <v>0.05</v>
      </c>
      <c r="X9" s="2" t="s">
        <v>239</v>
      </c>
      <c r="Y9" s="29">
        <v>0.05</v>
      </c>
    </row>
    <row r="10" spans="9:27" ht="15.75">
      <c r="I10" s="27" t="s">
        <v>232</v>
      </c>
      <c r="J10" s="94" t="s">
        <v>226</v>
      </c>
      <c r="K10" s="94"/>
      <c r="L10" s="94"/>
      <c r="M10" s="94"/>
      <c r="P10" s="28" t="s">
        <v>222</v>
      </c>
      <c r="Q10" s="30">
        <f>FV(Q9/12,Q8,Q7,,0)</f>
        <v>-11191.134376068047</v>
      </c>
      <c r="R10" t="s">
        <v>240</v>
      </c>
      <c r="X10" s="28" t="s">
        <v>222</v>
      </c>
      <c r="Y10" s="30">
        <f>FV(Y9/12,Y8,,Y7,0)</f>
        <v>-53885.810547245848</v>
      </c>
      <c r="Z10" t="s">
        <v>240</v>
      </c>
    </row>
    <row r="11" spans="9:27">
      <c r="I11" s="27" t="s">
        <v>233</v>
      </c>
      <c r="J11" s="94" t="s">
        <v>227</v>
      </c>
      <c r="K11" s="94"/>
      <c r="L11" s="94"/>
      <c r="M11" s="94"/>
      <c r="Q11" s="30">
        <f>FV(Q9/12,Q8,Q7,,1)</f>
        <v>-11237.764102634996</v>
      </c>
      <c r="R11" t="s">
        <v>241</v>
      </c>
      <c r="Y11" s="30">
        <f>FV(Y9/12,Y8,,Y7,1)</f>
        <v>-53885.810547245848</v>
      </c>
      <c r="Z11" t="s">
        <v>241</v>
      </c>
    </row>
    <row r="12" spans="9:27">
      <c r="I12" s="27" t="s">
        <v>234</v>
      </c>
      <c r="J12" s="94" t="s">
        <v>228</v>
      </c>
      <c r="K12" s="94"/>
      <c r="L12" s="94"/>
      <c r="M12" s="94"/>
    </row>
    <row r="14" spans="9:27" ht="18.75">
      <c r="O14" s="26"/>
      <c r="P14" s="91" t="s">
        <v>243</v>
      </c>
      <c r="Q14" s="91"/>
      <c r="R14" s="91"/>
      <c r="S14" s="91"/>
    </row>
    <row r="16" spans="9:27">
      <c r="P16" s="1" t="s">
        <v>244</v>
      </c>
      <c r="Q16" s="1"/>
      <c r="R16" s="1">
        <v>100000</v>
      </c>
    </row>
    <row r="17" spans="16:34">
      <c r="P17" s="1" t="s">
        <v>245</v>
      </c>
      <c r="Q17" s="1"/>
      <c r="R17" s="1">
        <v>48</v>
      </c>
      <c r="U17" t="s">
        <v>244</v>
      </c>
      <c r="V17">
        <v>100000</v>
      </c>
    </row>
    <row r="18" spans="16:34" ht="18.75">
      <c r="P18" s="1" t="s">
        <v>239</v>
      </c>
      <c r="Q18" s="1"/>
      <c r="R18" s="33">
        <v>0.215</v>
      </c>
      <c r="U18" t="s">
        <v>247</v>
      </c>
      <c r="V18">
        <v>12</v>
      </c>
      <c r="AC18" s="91" t="s">
        <v>232</v>
      </c>
      <c r="AD18" s="91"/>
      <c r="AE18" s="91"/>
      <c r="AF18" s="91"/>
      <c r="AH18" s="36"/>
    </row>
    <row r="19" spans="16:34">
      <c r="U19" t="s">
        <v>248</v>
      </c>
      <c r="V19" s="35">
        <v>0.215</v>
      </c>
    </row>
    <row r="20" spans="16:34" ht="18.75">
      <c r="P20" s="31" t="s">
        <v>229</v>
      </c>
      <c r="R20" s="34">
        <f>PMT(R18/12,R17,R16,,0)</f>
        <v>-3123.5257555829025</v>
      </c>
      <c r="AC20" t="s">
        <v>253</v>
      </c>
      <c r="AD20">
        <v>100000</v>
      </c>
    </row>
    <row r="21" spans="16:34" ht="18.75">
      <c r="P21" s="31" t="s">
        <v>230</v>
      </c>
      <c r="R21" s="32">
        <f>IPMT(R18/12,1,R17,R16,,0)</f>
        <v>-1791.6666666666667</v>
      </c>
      <c r="AC21" t="s">
        <v>250</v>
      </c>
      <c r="AD21" s="37">
        <v>3123.53</v>
      </c>
    </row>
    <row r="22" spans="16:34" ht="18.75">
      <c r="P22" s="31" t="s">
        <v>231</v>
      </c>
      <c r="R22" s="32">
        <f>PPMT(R18/12,1,R17,R16,,0)</f>
        <v>-1331.8590889162358</v>
      </c>
      <c r="AC22" t="s">
        <v>254</v>
      </c>
      <c r="AD22">
        <v>48</v>
      </c>
    </row>
    <row r="23" spans="16:34">
      <c r="R23" t="s">
        <v>246</v>
      </c>
      <c r="W23" t="s">
        <v>249</v>
      </c>
      <c r="X23" t="s">
        <v>250</v>
      </c>
      <c r="Y23" t="s">
        <v>251</v>
      </c>
      <c r="Z23" t="s">
        <v>252</v>
      </c>
    </row>
    <row r="24" spans="16:34">
      <c r="W24">
        <v>1</v>
      </c>
      <c r="X24" s="32">
        <f>PMT($V$19/12,$V$18,$V$17,,0)</f>
        <v>-9335.3909587601429</v>
      </c>
      <c r="Y24" s="32">
        <f>IPMT($V$19/12,W24,$V$18,$V$17,,0)</f>
        <v>-1791.6666666666667</v>
      </c>
      <c r="Z24" s="32">
        <f>PPMT($V$19/12,W24,$V$18,$V$17,,0)</f>
        <v>-7543.7242920934759</v>
      </c>
      <c r="AC24" t="s">
        <v>232</v>
      </c>
      <c r="AD24" s="36" t="e">
        <f>RATE(AD22,AD21,AD20,,0)*12</f>
        <v>#NUM!</v>
      </c>
    </row>
    <row r="25" spans="16:34">
      <c r="W25">
        <v>2</v>
      </c>
      <c r="X25" s="32">
        <f t="shared" ref="X25:X35" si="0">PMT($V$19/12,$V$18,$V$17,,0)</f>
        <v>-9335.3909587601429</v>
      </c>
      <c r="Y25" s="32">
        <f>IPMT($V$19/12,W25,$V$18,$V$17,,0)</f>
        <v>-1656.508273099992</v>
      </c>
      <c r="Z25" s="32">
        <f t="shared" ref="Z25:Z35" si="1">PPMT($V$19/12,W25,$V$18,$V$17,,0)</f>
        <v>-7678.8826856601509</v>
      </c>
    </row>
    <row r="26" spans="16:34">
      <c r="W26">
        <v>3</v>
      </c>
      <c r="X26" s="32">
        <f t="shared" si="0"/>
        <v>-9335.3909587601429</v>
      </c>
      <c r="Y26" s="32">
        <f t="shared" ref="Y26:Y35" si="2">IPMT($V$19/12,W26,$V$18,$V$17,,0)</f>
        <v>-1518.9282916485811</v>
      </c>
      <c r="Z26" s="32">
        <f t="shared" si="1"/>
        <v>-7816.462667111562</v>
      </c>
    </row>
    <row r="27" spans="16:34">
      <c r="W27">
        <v>4</v>
      </c>
      <c r="X27" s="32">
        <f t="shared" si="0"/>
        <v>-9335.3909587601429</v>
      </c>
      <c r="Y27" s="32">
        <f t="shared" si="2"/>
        <v>-1378.8833355294987</v>
      </c>
      <c r="Z27" s="32">
        <f t="shared" si="1"/>
        <v>-7956.5076232306437</v>
      </c>
    </row>
    <row r="28" spans="16:34">
      <c r="W28">
        <v>5</v>
      </c>
      <c r="X28" s="32">
        <f t="shared" si="0"/>
        <v>-9335.3909587601429</v>
      </c>
      <c r="Y28" s="32">
        <f t="shared" si="2"/>
        <v>-1236.329240613283</v>
      </c>
      <c r="Z28" s="32">
        <f t="shared" si="1"/>
        <v>-8099.0617181468588</v>
      </c>
    </row>
    <row r="29" spans="16:34">
      <c r="W29">
        <v>6</v>
      </c>
      <c r="X29" s="32">
        <f t="shared" si="0"/>
        <v>-9335.3909587601429</v>
      </c>
      <c r="Y29" s="32">
        <f t="shared" si="2"/>
        <v>-1091.2210514964852</v>
      </c>
      <c r="Z29" s="32">
        <f t="shared" si="1"/>
        <v>-8244.1699072636566</v>
      </c>
    </row>
    <row r="30" spans="16:34">
      <c r="W30">
        <v>7</v>
      </c>
      <c r="X30" s="32">
        <f t="shared" si="0"/>
        <v>-9335.3909587601429</v>
      </c>
      <c r="Y30" s="32">
        <f t="shared" si="2"/>
        <v>-943.51300732467791</v>
      </c>
      <c r="Z30" s="32">
        <f t="shared" si="1"/>
        <v>-8391.8779514354646</v>
      </c>
    </row>
    <row r="31" spans="16:34">
      <c r="W31">
        <v>8</v>
      </c>
      <c r="X31" s="32">
        <f t="shared" si="0"/>
        <v>-9335.3909587601429</v>
      </c>
      <c r="Y31" s="32">
        <f t="shared" si="2"/>
        <v>-793.15852736145916</v>
      </c>
      <c r="Z31" s="32">
        <f t="shared" si="1"/>
        <v>-8542.2324313986828</v>
      </c>
    </row>
    <row r="32" spans="16:34">
      <c r="W32">
        <v>9</v>
      </c>
      <c r="X32" s="32">
        <f t="shared" si="0"/>
        <v>-9335.3909587601429</v>
      </c>
      <c r="Y32" s="32">
        <f t="shared" si="2"/>
        <v>-640.1101962988995</v>
      </c>
      <c r="Z32" s="32">
        <f t="shared" si="1"/>
        <v>-8695.2807624612433</v>
      </c>
    </row>
    <row r="33" spans="23:26">
      <c r="W33">
        <v>10</v>
      </c>
      <c r="X33" s="32">
        <f t="shared" si="0"/>
        <v>-9335.3909587601429</v>
      </c>
      <c r="Y33" s="32">
        <f t="shared" si="2"/>
        <v>-484.31974930480209</v>
      </c>
      <c r="Z33" s="32">
        <f t="shared" si="1"/>
        <v>-8851.0712094553419</v>
      </c>
    </row>
    <row r="34" spans="23:26">
      <c r="W34">
        <v>11</v>
      </c>
      <c r="X34" s="32">
        <f t="shared" si="0"/>
        <v>-9335.3909587601429</v>
      </c>
      <c r="Y34" s="32">
        <f t="shared" si="2"/>
        <v>-325.73805680206056</v>
      </c>
      <c r="Z34" s="32">
        <f t="shared" si="1"/>
        <v>-9009.6529019580812</v>
      </c>
    </row>
    <row r="35" spans="23:26">
      <c r="W35">
        <v>12</v>
      </c>
      <c r="X35" s="32">
        <f t="shared" si="0"/>
        <v>-9335.3909587601429</v>
      </c>
      <c r="Y35" s="32">
        <f t="shared" si="2"/>
        <v>-164.3151089753116</v>
      </c>
      <c r="Z35" s="32">
        <f t="shared" si="1"/>
        <v>-9171.075849784831</v>
      </c>
    </row>
  </sheetData>
  <mergeCells count="13">
    <mergeCell ref="P14:S14"/>
    <mergeCell ref="AC18:AF18"/>
    <mergeCell ref="N1:U2"/>
    <mergeCell ref="I5:M5"/>
    <mergeCell ref="J6:M6"/>
    <mergeCell ref="J7:M7"/>
    <mergeCell ref="J9:M9"/>
    <mergeCell ref="X5:AA5"/>
    <mergeCell ref="J10:M10"/>
    <mergeCell ref="J11:M11"/>
    <mergeCell ref="J12:M12"/>
    <mergeCell ref="J8:M8"/>
    <mergeCell ref="P5:S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B8C0A-B252-42DE-A5F0-EB9226243C39}">
  <dimension ref="A1:M33"/>
  <sheetViews>
    <sheetView workbookViewId="0">
      <selection sqref="A1:I24"/>
    </sheetView>
  </sheetViews>
  <sheetFormatPr defaultRowHeight="15"/>
  <cols>
    <col min="1" max="1" width="12.5703125" bestFit="1" customWidth="1"/>
    <col min="2" max="2" width="21.140625" bestFit="1" customWidth="1"/>
    <col min="3" max="3" width="23.7109375" bestFit="1" customWidth="1"/>
    <col min="4" max="4" width="12.28515625" bestFit="1" customWidth="1"/>
    <col min="5" max="5" width="19.140625" customWidth="1"/>
    <col min="6" max="6" width="19.5703125" bestFit="1" customWidth="1"/>
    <col min="7" max="7" width="13.7109375" bestFit="1" customWidth="1"/>
    <col min="8" max="8" width="16.42578125" bestFit="1" customWidth="1"/>
    <col min="9" max="9" width="20.140625" customWidth="1"/>
    <col min="11" max="11" width="9.140625" customWidth="1"/>
    <col min="12" max="12" width="22.85546875" bestFit="1" customWidth="1"/>
    <col min="13" max="13" width="13.7109375" bestFit="1" customWidth="1"/>
  </cols>
  <sheetData>
    <row r="1" spans="1:13">
      <c r="A1" s="41" t="s">
        <v>22</v>
      </c>
      <c r="B1" s="41" t="s">
        <v>23</v>
      </c>
      <c r="C1" s="41" t="s">
        <v>24</v>
      </c>
      <c r="D1" s="41" t="s">
        <v>25</v>
      </c>
      <c r="E1" s="41" t="s">
        <v>15</v>
      </c>
      <c r="F1" s="41" t="s">
        <v>26</v>
      </c>
      <c r="G1" s="41" t="s">
        <v>27</v>
      </c>
      <c r="H1" s="41" t="s">
        <v>28</v>
      </c>
      <c r="I1" s="41" t="s">
        <v>29</v>
      </c>
    </row>
    <row r="2" spans="1:13" ht="15.75">
      <c r="A2">
        <v>18001</v>
      </c>
      <c r="B2" t="s">
        <v>30</v>
      </c>
      <c r="C2" t="s">
        <v>31</v>
      </c>
      <c r="D2" t="s">
        <v>32</v>
      </c>
      <c r="E2" t="s">
        <v>33</v>
      </c>
      <c r="F2" t="s">
        <v>34</v>
      </c>
      <c r="G2">
        <v>4400</v>
      </c>
      <c r="H2" s="38">
        <v>1576</v>
      </c>
      <c r="I2" t="s">
        <v>35</v>
      </c>
    </row>
    <row r="3" spans="1:13" ht="15.75">
      <c r="A3">
        <v>18002</v>
      </c>
      <c r="B3" t="s">
        <v>36</v>
      </c>
      <c r="C3" t="s">
        <v>37</v>
      </c>
      <c r="D3" t="s">
        <v>32</v>
      </c>
      <c r="E3" t="s">
        <v>258</v>
      </c>
      <c r="F3" t="s">
        <v>38</v>
      </c>
      <c r="G3">
        <v>4400</v>
      </c>
      <c r="H3" s="38">
        <v>4736</v>
      </c>
      <c r="I3" t="s">
        <v>39</v>
      </c>
    </row>
    <row r="4" spans="1:13" ht="15.75">
      <c r="A4">
        <v>18003</v>
      </c>
      <c r="B4" t="s">
        <v>40</v>
      </c>
      <c r="C4" t="s">
        <v>41</v>
      </c>
      <c r="D4" t="s">
        <v>32</v>
      </c>
      <c r="E4" t="s">
        <v>33</v>
      </c>
      <c r="F4" t="s">
        <v>38</v>
      </c>
      <c r="G4">
        <v>4400</v>
      </c>
      <c r="H4" s="38">
        <v>2113</v>
      </c>
      <c r="I4" t="s">
        <v>42</v>
      </c>
    </row>
    <row r="5" spans="1:13" ht="15.75">
      <c r="A5">
        <v>18004</v>
      </c>
      <c r="B5" t="s">
        <v>43</v>
      </c>
      <c r="C5" t="s">
        <v>44</v>
      </c>
      <c r="D5" t="s">
        <v>32</v>
      </c>
      <c r="E5" t="s">
        <v>261</v>
      </c>
      <c r="F5" t="s">
        <v>38</v>
      </c>
      <c r="G5">
        <v>4400</v>
      </c>
      <c r="H5" s="38">
        <v>3998</v>
      </c>
      <c r="I5" t="s">
        <v>42</v>
      </c>
    </row>
    <row r="6" spans="1:13" ht="15.75">
      <c r="A6">
        <v>18005</v>
      </c>
      <c r="B6" t="s">
        <v>45</v>
      </c>
      <c r="C6" t="s">
        <v>46</v>
      </c>
      <c r="D6" t="s">
        <v>32</v>
      </c>
      <c r="E6" t="s">
        <v>33</v>
      </c>
      <c r="F6" t="s">
        <v>38</v>
      </c>
      <c r="G6">
        <v>4400</v>
      </c>
      <c r="H6" s="38">
        <v>3918</v>
      </c>
      <c r="I6" t="s">
        <v>42</v>
      </c>
    </row>
    <row r="7" spans="1:13" ht="15.75">
      <c r="A7">
        <v>18006</v>
      </c>
      <c r="B7" t="s">
        <v>47</v>
      </c>
      <c r="C7" t="s">
        <v>48</v>
      </c>
      <c r="D7" t="s">
        <v>32</v>
      </c>
      <c r="E7" t="s">
        <v>255</v>
      </c>
      <c r="F7" t="s">
        <v>38</v>
      </c>
      <c r="G7">
        <v>4400</v>
      </c>
      <c r="H7" s="38">
        <v>3170</v>
      </c>
      <c r="I7" t="s">
        <v>42</v>
      </c>
    </row>
    <row r="8" spans="1:13" ht="15.75">
      <c r="A8">
        <v>18007</v>
      </c>
      <c r="B8" t="s">
        <v>49</v>
      </c>
      <c r="C8" t="s">
        <v>50</v>
      </c>
      <c r="D8" t="s">
        <v>32</v>
      </c>
      <c r="E8" t="s">
        <v>33</v>
      </c>
      <c r="F8" t="s">
        <v>51</v>
      </c>
      <c r="G8">
        <v>4400</v>
      </c>
      <c r="H8" s="38">
        <v>2647</v>
      </c>
      <c r="I8" t="s">
        <v>42</v>
      </c>
    </row>
    <row r="9" spans="1:13" ht="15.75">
      <c r="A9">
        <v>18008</v>
      </c>
      <c r="B9" t="s">
        <v>52</v>
      </c>
      <c r="C9" t="s">
        <v>53</v>
      </c>
      <c r="D9" t="s">
        <v>54</v>
      </c>
      <c r="E9" t="s">
        <v>256</v>
      </c>
      <c r="F9" t="s">
        <v>51</v>
      </c>
      <c r="G9">
        <v>4400</v>
      </c>
      <c r="H9" s="38">
        <v>2159</v>
      </c>
      <c r="I9" t="s">
        <v>42</v>
      </c>
    </row>
    <row r="10" spans="1:13" ht="15.75">
      <c r="A10">
        <v>18009</v>
      </c>
      <c r="B10" t="s">
        <v>55</v>
      </c>
      <c r="C10" t="s">
        <v>56</v>
      </c>
      <c r="D10" t="s">
        <v>32</v>
      </c>
      <c r="E10" t="s">
        <v>33</v>
      </c>
      <c r="F10" t="s">
        <v>51</v>
      </c>
      <c r="G10">
        <v>4400</v>
      </c>
      <c r="H10" s="38">
        <v>2581</v>
      </c>
      <c r="I10" t="s">
        <v>35</v>
      </c>
    </row>
    <row r="11" spans="1:13" ht="15.75">
      <c r="A11">
        <v>18010</v>
      </c>
      <c r="B11" t="s">
        <v>57</v>
      </c>
      <c r="C11" t="s">
        <v>58</v>
      </c>
      <c r="D11" t="s">
        <v>54</v>
      </c>
      <c r="E11" t="s">
        <v>33</v>
      </c>
      <c r="F11" t="s">
        <v>51</v>
      </c>
      <c r="G11">
        <v>4400</v>
      </c>
      <c r="H11" s="38">
        <v>3093</v>
      </c>
      <c r="I11" t="s">
        <v>42</v>
      </c>
      <c r="L11" s="39" t="s">
        <v>262</v>
      </c>
      <c r="M11" s="40" t="s">
        <v>263</v>
      </c>
    </row>
    <row r="12" spans="1:13" ht="15.75">
      <c r="A12">
        <v>18011</v>
      </c>
      <c r="B12" t="s">
        <v>59</v>
      </c>
      <c r="C12" t="s">
        <v>60</v>
      </c>
      <c r="D12" t="s">
        <v>32</v>
      </c>
      <c r="E12" t="s">
        <v>256</v>
      </c>
      <c r="F12" t="s">
        <v>51</v>
      </c>
      <c r="G12">
        <v>4400</v>
      </c>
      <c r="H12" s="38">
        <v>4350</v>
      </c>
      <c r="I12" t="s">
        <v>39</v>
      </c>
      <c r="L12" s="1" t="s">
        <v>255</v>
      </c>
      <c r="M12" s="2">
        <f>COUNTIF(E2:E24,L12)</f>
        <v>1</v>
      </c>
    </row>
    <row r="13" spans="1:13" ht="15.75">
      <c r="A13">
        <v>18012</v>
      </c>
      <c r="B13" t="s">
        <v>61</v>
      </c>
      <c r="C13" t="s">
        <v>62</v>
      </c>
      <c r="D13" t="s">
        <v>32</v>
      </c>
      <c r="E13" t="s">
        <v>33</v>
      </c>
      <c r="F13" t="s">
        <v>63</v>
      </c>
      <c r="G13">
        <v>4400</v>
      </c>
      <c r="H13" s="38">
        <v>4381</v>
      </c>
      <c r="I13" t="s">
        <v>42</v>
      </c>
    </row>
    <row r="14" spans="1:13" ht="15.75">
      <c r="A14">
        <v>18013</v>
      </c>
      <c r="B14" t="s">
        <v>64</v>
      </c>
      <c r="C14" t="s">
        <v>65</v>
      </c>
      <c r="D14" t="s">
        <v>54</v>
      </c>
      <c r="E14" t="s">
        <v>33</v>
      </c>
      <c r="F14" t="s">
        <v>63</v>
      </c>
      <c r="G14">
        <v>4400</v>
      </c>
      <c r="H14" s="38">
        <v>2379</v>
      </c>
      <c r="I14" t="s">
        <v>35</v>
      </c>
    </row>
    <row r="15" spans="1:13" ht="15.75">
      <c r="A15">
        <v>18014</v>
      </c>
      <c r="B15" t="s">
        <v>66</v>
      </c>
      <c r="C15" t="s">
        <v>67</v>
      </c>
      <c r="D15" t="s">
        <v>54</v>
      </c>
      <c r="E15" t="s">
        <v>256</v>
      </c>
      <c r="F15" t="s">
        <v>63</v>
      </c>
      <c r="G15">
        <v>4400</v>
      </c>
      <c r="H15" s="38">
        <v>3764</v>
      </c>
      <c r="I15" t="s">
        <v>42</v>
      </c>
      <c r="L15">
        <f>SUM(Table1[Deposit Fee])</f>
        <v>79342</v>
      </c>
    </row>
    <row r="16" spans="1:13" ht="15.75">
      <c r="A16">
        <v>18015</v>
      </c>
      <c r="B16" t="s">
        <v>68</v>
      </c>
      <c r="C16" t="s">
        <v>69</v>
      </c>
      <c r="D16" t="s">
        <v>54</v>
      </c>
      <c r="E16" t="s">
        <v>256</v>
      </c>
      <c r="F16" t="s">
        <v>63</v>
      </c>
      <c r="G16">
        <v>4400</v>
      </c>
      <c r="H16" s="38">
        <v>4337</v>
      </c>
      <c r="I16" t="s">
        <v>70</v>
      </c>
    </row>
    <row r="17" spans="1:13" ht="15.75">
      <c r="A17">
        <v>18016</v>
      </c>
      <c r="B17" t="s">
        <v>71</v>
      </c>
      <c r="C17" t="s">
        <v>72</v>
      </c>
      <c r="D17" t="s">
        <v>32</v>
      </c>
      <c r="E17" t="s">
        <v>73</v>
      </c>
      <c r="F17" t="s">
        <v>74</v>
      </c>
      <c r="G17">
        <v>5500</v>
      </c>
      <c r="H17" s="38">
        <v>4744</v>
      </c>
      <c r="I17" t="s">
        <v>75</v>
      </c>
    </row>
    <row r="18" spans="1:13" ht="15.75">
      <c r="A18">
        <v>18017</v>
      </c>
      <c r="B18" t="s">
        <v>76</v>
      </c>
      <c r="C18" t="s">
        <v>77</v>
      </c>
      <c r="D18" t="s">
        <v>54</v>
      </c>
      <c r="E18" t="s">
        <v>260</v>
      </c>
      <c r="F18" t="s">
        <v>74</v>
      </c>
      <c r="G18">
        <v>5500</v>
      </c>
      <c r="H18" s="38">
        <v>3165</v>
      </c>
      <c r="I18" t="s">
        <v>42</v>
      </c>
    </row>
    <row r="19" spans="1:13" ht="15.75">
      <c r="A19">
        <v>18018</v>
      </c>
      <c r="B19" t="s">
        <v>78</v>
      </c>
      <c r="C19" t="s">
        <v>79</v>
      </c>
      <c r="D19" t="s">
        <v>54</v>
      </c>
      <c r="E19" t="s">
        <v>73</v>
      </c>
      <c r="F19" t="s">
        <v>74</v>
      </c>
      <c r="G19">
        <v>5500</v>
      </c>
      <c r="H19" s="38">
        <v>3674</v>
      </c>
      <c r="I19" t="s">
        <v>42</v>
      </c>
    </row>
    <row r="20" spans="1:13" ht="15.75">
      <c r="A20">
        <v>18019</v>
      </c>
      <c r="B20" t="s">
        <v>80</v>
      </c>
      <c r="C20" t="s">
        <v>81</v>
      </c>
      <c r="D20" t="s">
        <v>32</v>
      </c>
      <c r="E20" t="s">
        <v>260</v>
      </c>
      <c r="F20" t="s">
        <v>82</v>
      </c>
      <c r="G20">
        <v>5500</v>
      </c>
      <c r="H20" s="38">
        <v>4326</v>
      </c>
      <c r="I20" t="s">
        <v>42</v>
      </c>
    </row>
    <row r="21" spans="1:13" ht="15.75">
      <c r="A21">
        <v>18020</v>
      </c>
      <c r="B21" t="s">
        <v>83</v>
      </c>
      <c r="C21" t="s">
        <v>84</v>
      </c>
      <c r="D21" t="s">
        <v>32</v>
      </c>
      <c r="E21" t="s">
        <v>257</v>
      </c>
      <c r="F21" t="s">
        <v>85</v>
      </c>
      <c r="G21">
        <v>5500</v>
      </c>
      <c r="H21" s="38">
        <v>4938</v>
      </c>
      <c r="I21" t="s">
        <v>70</v>
      </c>
    </row>
    <row r="22" spans="1:13" ht="15.75">
      <c r="A22">
        <v>18021</v>
      </c>
      <c r="B22" t="s">
        <v>86</v>
      </c>
      <c r="C22" t="s">
        <v>87</v>
      </c>
      <c r="D22" t="s">
        <v>32</v>
      </c>
      <c r="E22" t="s">
        <v>73</v>
      </c>
      <c r="F22" t="s">
        <v>85</v>
      </c>
      <c r="G22">
        <v>5500</v>
      </c>
      <c r="H22" s="38">
        <v>1803</v>
      </c>
      <c r="I22" t="s">
        <v>88</v>
      </c>
    </row>
    <row r="23" spans="1:13" ht="15.75">
      <c r="A23">
        <v>18022</v>
      </c>
      <c r="B23" t="s">
        <v>89</v>
      </c>
      <c r="C23" t="s">
        <v>90</v>
      </c>
      <c r="D23" t="s">
        <v>32</v>
      </c>
      <c r="E23" t="s">
        <v>259</v>
      </c>
      <c r="F23" t="s">
        <v>85</v>
      </c>
      <c r="G23">
        <v>5500</v>
      </c>
      <c r="H23" s="38">
        <v>3373</v>
      </c>
      <c r="I23" t="s">
        <v>70</v>
      </c>
    </row>
    <row r="24" spans="1:13" ht="15.75">
      <c r="A24">
        <v>18023</v>
      </c>
      <c r="B24" t="s">
        <v>91</v>
      </c>
      <c r="C24" t="s">
        <v>92</v>
      </c>
      <c r="D24" t="s">
        <v>32</v>
      </c>
      <c r="E24" t="s">
        <v>73</v>
      </c>
      <c r="F24" t="s">
        <v>85</v>
      </c>
      <c r="G24">
        <v>5500</v>
      </c>
      <c r="H24" s="38">
        <v>4117</v>
      </c>
      <c r="I24" t="s">
        <v>39</v>
      </c>
    </row>
    <row r="29" spans="1:13">
      <c r="A29">
        <v>1</v>
      </c>
      <c r="B29">
        <f ca="1">RANDBETWEEN(45,100)</f>
        <v>83</v>
      </c>
    </row>
    <row r="30" spans="1:13">
      <c r="A30">
        <v>2</v>
      </c>
      <c r="B30">
        <f t="shared" ref="B30:B33" ca="1" si="0">RANDBETWEEN(45,100)</f>
        <v>50</v>
      </c>
    </row>
    <row r="31" spans="1:13">
      <c r="A31">
        <v>3</v>
      </c>
      <c r="B31">
        <f t="shared" ca="1" si="0"/>
        <v>90</v>
      </c>
      <c r="L31" t="s">
        <v>264</v>
      </c>
      <c r="M31" t="s">
        <v>265</v>
      </c>
    </row>
    <row r="32" spans="1:13">
      <c r="A32">
        <v>4</v>
      </c>
      <c r="B32">
        <f t="shared" ca="1" si="0"/>
        <v>72</v>
      </c>
      <c r="L32" t="s">
        <v>266</v>
      </c>
      <c r="M32" t="s">
        <v>267</v>
      </c>
    </row>
    <row r="33" spans="1:2">
      <c r="A33">
        <v>5</v>
      </c>
      <c r="B33">
        <f t="shared" ca="1" si="0"/>
        <v>56</v>
      </c>
    </row>
  </sheetData>
  <conditionalFormatting sqref="D1:D1048576">
    <cfRule type="cellIs" dxfId="3" priority="1" operator="equal">
      <formula>"Female"</formula>
    </cfRule>
    <cfRule type="cellIs" dxfId="2" priority="2" operator="equal">
      <formula>"Male"</formula>
    </cfRule>
  </conditionalFormatting>
  <conditionalFormatting sqref="D2:D24">
    <cfRule type="expression" dxfId="1" priority="3">
      <formula>"Male"</formula>
    </cfRule>
  </conditionalFormatting>
  <conditionalFormatting sqref="E2:E24">
    <cfRule type="expression" dxfId="0" priority="4">
      <formula>E2=$L$12</formula>
    </cfRule>
  </conditionalFormatting>
  <dataValidations count="1">
    <dataValidation type="list" allowBlank="1" showInputMessage="1" showErrorMessage="1" sqref="L12" xr:uid="{90F6B9D0-63BF-4758-B8F0-9DC5A46CDC4A}">
      <formula1>$E$2:$E$24</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9B7D2-260D-4593-8A9B-893B1DFF0EE2}">
  <dimension ref="A1:U24"/>
  <sheetViews>
    <sheetView topLeftCell="O4" zoomScaleNormal="100" workbookViewId="0">
      <selection sqref="A1:I24"/>
    </sheetView>
  </sheetViews>
  <sheetFormatPr defaultRowHeight="15"/>
  <cols>
    <col min="1" max="1" width="8" bestFit="1" customWidth="1"/>
    <col min="2" max="2" width="21.140625" bestFit="1" customWidth="1"/>
    <col min="3" max="3" width="23.7109375" bestFit="1" customWidth="1"/>
    <col min="4" max="4" width="7.7109375" bestFit="1" customWidth="1"/>
    <col min="5" max="5" width="16.7109375" bestFit="1" customWidth="1"/>
    <col min="6" max="6" width="15" bestFit="1" customWidth="1"/>
    <col min="8" max="8" width="11.85546875" bestFit="1" customWidth="1"/>
    <col min="9" max="9" width="15.85546875" bestFit="1" customWidth="1"/>
    <col min="11" max="11" width="16.42578125" bestFit="1" customWidth="1"/>
    <col min="12" max="13" width="17.5703125" bestFit="1" customWidth="1"/>
    <col min="14" max="15" width="17.28515625" bestFit="1" customWidth="1"/>
    <col min="16" max="17" width="16" bestFit="1" customWidth="1"/>
    <col min="18" max="18" width="16.28515625" bestFit="1" customWidth="1"/>
    <col min="19" max="20" width="15.85546875" bestFit="1" customWidth="1"/>
    <col min="21" max="21" width="11.28515625" bestFit="1" customWidth="1"/>
    <col min="22" max="26" width="6" bestFit="1" customWidth="1"/>
    <col min="27" max="27" width="22.28515625" bestFit="1" customWidth="1"/>
    <col min="28" max="28" width="19.140625" bestFit="1" customWidth="1"/>
    <col min="29" max="29" width="22.28515625" bestFit="1" customWidth="1"/>
    <col min="30" max="30" width="17.85546875" bestFit="1" customWidth="1"/>
    <col min="31" max="31" width="21" bestFit="1" customWidth="1"/>
    <col min="32" max="32" width="17.85546875" bestFit="1" customWidth="1"/>
    <col min="33" max="33" width="6" bestFit="1" customWidth="1"/>
    <col min="34" max="34" width="21" bestFit="1" customWidth="1"/>
    <col min="35" max="35" width="18.140625" bestFit="1" customWidth="1"/>
    <col min="36" max="38" width="6" bestFit="1" customWidth="1"/>
    <col min="39" max="39" width="21.42578125" bestFit="1" customWidth="1"/>
    <col min="40" max="40" width="17.7109375" bestFit="1" customWidth="1"/>
    <col min="41" max="41" width="20.85546875" bestFit="1" customWidth="1"/>
    <col min="42" max="42" width="17.7109375" bestFit="1" customWidth="1"/>
    <col min="43" max="43" width="20.85546875" bestFit="1" customWidth="1"/>
    <col min="44" max="66" width="12" bestFit="1" customWidth="1"/>
    <col min="67" max="67" width="11.28515625" bestFit="1" customWidth="1"/>
  </cols>
  <sheetData>
    <row r="1" spans="1:21">
      <c r="A1" s="6" t="s">
        <v>22</v>
      </c>
      <c r="B1" s="6" t="s">
        <v>23</v>
      </c>
      <c r="C1" s="6" t="s">
        <v>24</v>
      </c>
      <c r="D1" s="6" t="s">
        <v>25</v>
      </c>
      <c r="E1" s="6" t="s">
        <v>15</v>
      </c>
      <c r="F1" s="6" t="s">
        <v>26</v>
      </c>
      <c r="G1" s="6" t="s">
        <v>27</v>
      </c>
      <c r="H1" s="6" t="s">
        <v>28</v>
      </c>
      <c r="I1" s="6" t="s">
        <v>29</v>
      </c>
    </row>
    <row r="2" spans="1:21">
      <c r="A2">
        <v>18001</v>
      </c>
      <c r="B2" t="s">
        <v>30</v>
      </c>
      <c r="C2" t="s">
        <v>31</v>
      </c>
      <c r="D2" t="s">
        <v>32</v>
      </c>
      <c r="E2" t="s">
        <v>33</v>
      </c>
      <c r="F2" t="s">
        <v>34</v>
      </c>
      <c r="G2">
        <v>4400</v>
      </c>
      <c r="H2">
        <v>1576</v>
      </c>
      <c r="I2" t="s">
        <v>35</v>
      </c>
    </row>
    <row r="3" spans="1:21">
      <c r="A3">
        <v>18002</v>
      </c>
      <c r="B3" t="s">
        <v>36</v>
      </c>
      <c r="C3" t="s">
        <v>37</v>
      </c>
      <c r="D3" t="s">
        <v>32</v>
      </c>
      <c r="E3" t="s">
        <v>258</v>
      </c>
      <c r="F3" t="s">
        <v>38</v>
      </c>
      <c r="G3">
        <v>4400</v>
      </c>
      <c r="H3">
        <v>4736</v>
      </c>
      <c r="I3" t="s">
        <v>39</v>
      </c>
    </row>
    <row r="4" spans="1:21">
      <c r="A4">
        <v>18003</v>
      </c>
      <c r="B4" t="s">
        <v>40</v>
      </c>
      <c r="C4" t="s">
        <v>41</v>
      </c>
      <c r="D4" t="s">
        <v>32</v>
      </c>
      <c r="E4" t="s">
        <v>33</v>
      </c>
      <c r="F4" t="s">
        <v>38</v>
      </c>
      <c r="G4">
        <v>4400</v>
      </c>
      <c r="H4">
        <v>2113</v>
      </c>
      <c r="I4" t="s">
        <v>42</v>
      </c>
      <c r="K4" s="42" t="s">
        <v>270</v>
      </c>
      <c r="L4" s="42" t="s">
        <v>271</v>
      </c>
    </row>
    <row r="5" spans="1:21">
      <c r="A5">
        <v>18004</v>
      </c>
      <c r="B5" t="s">
        <v>43</v>
      </c>
      <c r="C5" t="s">
        <v>44</v>
      </c>
      <c r="D5" t="s">
        <v>32</v>
      </c>
      <c r="E5" t="s">
        <v>261</v>
      </c>
      <c r="F5" t="s">
        <v>38</v>
      </c>
      <c r="G5">
        <v>4400</v>
      </c>
      <c r="H5">
        <v>3998</v>
      </c>
      <c r="I5" t="s">
        <v>42</v>
      </c>
      <c r="K5" s="46" t="s">
        <v>268</v>
      </c>
      <c r="L5" s="47" t="s">
        <v>258</v>
      </c>
      <c r="M5" s="47" t="s">
        <v>73</v>
      </c>
      <c r="N5" s="47" t="s">
        <v>33</v>
      </c>
      <c r="O5" s="47" t="s">
        <v>257</v>
      </c>
      <c r="P5" s="47" t="s">
        <v>255</v>
      </c>
      <c r="Q5" s="47" t="s">
        <v>260</v>
      </c>
      <c r="R5" s="47" t="s">
        <v>256</v>
      </c>
      <c r="S5" s="47" t="s">
        <v>261</v>
      </c>
      <c r="T5" s="47" t="s">
        <v>259</v>
      </c>
      <c r="U5" s="47" t="s">
        <v>269</v>
      </c>
    </row>
    <row r="6" spans="1:21">
      <c r="A6">
        <v>18005</v>
      </c>
      <c r="B6" t="s">
        <v>45</v>
      </c>
      <c r="C6" t="s">
        <v>46</v>
      </c>
      <c r="D6" t="s">
        <v>32</v>
      </c>
      <c r="E6" t="s">
        <v>33</v>
      </c>
      <c r="F6" t="s">
        <v>38</v>
      </c>
      <c r="G6">
        <v>4400</v>
      </c>
      <c r="H6">
        <v>3918</v>
      </c>
      <c r="I6" t="s">
        <v>42</v>
      </c>
      <c r="K6" s="48" t="s">
        <v>39</v>
      </c>
      <c r="L6" s="49">
        <v>1</v>
      </c>
      <c r="M6" s="49">
        <v>1</v>
      </c>
      <c r="N6" s="49">
        <v>0</v>
      </c>
      <c r="O6" s="49">
        <v>0</v>
      </c>
      <c r="P6" s="49">
        <v>0</v>
      </c>
      <c r="Q6" s="49">
        <v>0</v>
      </c>
      <c r="R6" s="49">
        <v>1</v>
      </c>
      <c r="S6" s="49">
        <v>0</v>
      </c>
      <c r="T6" s="49">
        <v>0</v>
      </c>
      <c r="U6" s="49">
        <v>3</v>
      </c>
    </row>
    <row r="7" spans="1:21">
      <c r="A7">
        <v>18006</v>
      </c>
      <c r="B7" t="s">
        <v>47</v>
      </c>
      <c r="C7" t="s">
        <v>48</v>
      </c>
      <c r="D7" t="s">
        <v>32</v>
      </c>
      <c r="E7" t="s">
        <v>255</v>
      </c>
      <c r="F7" t="s">
        <v>38</v>
      </c>
      <c r="G7">
        <v>4400</v>
      </c>
      <c r="H7">
        <v>3170</v>
      </c>
      <c r="I7" t="s">
        <v>42</v>
      </c>
      <c r="K7" s="48" t="s">
        <v>35</v>
      </c>
      <c r="L7" s="49">
        <v>0</v>
      </c>
      <c r="M7" s="49">
        <v>0</v>
      </c>
      <c r="N7" s="49">
        <v>3</v>
      </c>
      <c r="O7" s="49">
        <v>0</v>
      </c>
      <c r="P7" s="49">
        <v>0</v>
      </c>
      <c r="Q7" s="49">
        <v>0</v>
      </c>
      <c r="R7" s="49">
        <v>0</v>
      </c>
      <c r="S7" s="49">
        <v>0</v>
      </c>
      <c r="T7" s="49">
        <v>0</v>
      </c>
      <c r="U7" s="49">
        <v>3</v>
      </c>
    </row>
    <row r="8" spans="1:21">
      <c r="A8">
        <v>18007</v>
      </c>
      <c r="B8" t="s">
        <v>49</v>
      </c>
      <c r="C8" t="s">
        <v>50</v>
      </c>
      <c r="D8" t="s">
        <v>32</v>
      </c>
      <c r="E8" t="s">
        <v>33</v>
      </c>
      <c r="F8" t="s">
        <v>51</v>
      </c>
      <c r="G8">
        <v>4400</v>
      </c>
      <c r="H8">
        <v>2647</v>
      </c>
      <c r="I8" t="s">
        <v>42</v>
      </c>
      <c r="K8" s="48" t="s">
        <v>75</v>
      </c>
      <c r="L8" s="49">
        <v>0</v>
      </c>
      <c r="M8" s="49">
        <v>1</v>
      </c>
      <c r="N8" s="49">
        <v>0</v>
      </c>
      <c r="O8" s="49">
        <v>0</v>
      </c>
      <c r="P8" s="49">
        <v>0</v>
      </c>
      <c r="Q8" s="49">
        <v>0</v>
      </c>
      <c r="R8" s="49">
        <v>0</v>
      </c>
      <c r="S8" s="49">
        <v>0</v>
      </c>
      <c r="T8" s="49">
        <v>0</v>
      </c>
      <c r="U8" s="49">
        <v>1</v>
      </c>
    </row>
    <row r="9" spans="1:21">
      <c r="A9">
        <v>18008</v>
      </c>
      <c r="B9" t="s">
        <v>52</v>
      </c>
      <c r="C9" t="s">
        <v>53</v>
      </c>
      <c r="D9" t="s">
        <v>54</v>
      </c>
      <c r="E9" t="s">
        <v>256</v>
      </c>
      <c r="F9" t="s">
        <v>51</v>
      </c>
      <c r="G9">
        <v>4400</v>
      </c>
      <c r="H9">
        <v>2159</v>
      </c>
      <c r="I9" t="s">
        <v>42</v>
      </c>
      <c r="K9" s="48" t="s">
        <v>70</v>
      </c>
      <c r="L9" s="49">
        <v>0</v>
      </c>
      <c r="M9" s="49">
        <v>0</v>
      </c>
      <c r="N9" s="49">
        <v>0</v>
      </c>
      <c r="O9" s="49">
        <v>1</v>
      </c>
      <c r="P9" s="49">
        <v>0</v>
      </c>
      <c r="Q9" s="49">
        <v>0</v>
      </c>
      <c r="R9" s="49">
        <v>1</v>
      </c>
      <c r="S9" s="49">
        <v>0</v>
      </c>
      <c r="T9" s="49">
        <v>1</v>
      </c>
      <c r="U9" s="49">
        <v>3</v>
      </c>
    </row>
    <row r="10" spans="1:21">
      <c r="A10">
        <v>18009</v>
      </c>
      <c r="B10" t="s">
        <v>55</v>
      </c>
      <c r="C10" t="s">
        <v>56</v>
      </c>
      <c r="D10" t="s">
        <v>32</v>
      </c>
      <c r="E10" t="s">
        <v>33</v>
      </c>
      <c r="F10" t="s">
        <v>51</v>
      </c>
      <c r="G10">
        <v>4400</v>
      </c>
      <c r="H10">
        <v>2581</v>
      </c>
      <c r="I10" t="s">
        <v>35</v>
      </c>
      <c r="K10" s="48" t="s">
        <v>88</v>
      </c>
      <c r="L10" s="49">
        <v>0</v>
      </c>
      <c r="M10" s="49">
        <v>1</v>
      </c>
      <c r="N10" s="49">
        <v>0</v>
      </c>
      <c r="O10" s="49">
        <v>0</v>
      </c>
      <c r="P10" s="49">
        <v>0</v>
      </c>
      <c r="Q10" s="49">
        <v>0</v>
      </c>
      <c r="R10" s="49">
        <v>0</v>
      </c>
      <c r="S10" s="49">
        <v>0</v>
      </c>
      <c r="T10" s="49">
        <v>0</v>
      </c>
      <c r="U10" s="49">
        <v>1</v>
      </c>
    </row>
    <row r="11" spans="1:21">
      <c r="A11">
        <v>18010</v>
      </c>
      <c r="B11" t="s">
        <v>57</v>
      </c>
      <c r="C11" t="s">
        <v>58</v>
      </c>
      <c r="D11" t="s">
        <v>54</v>
      </c>
      <c r="E11" t="s">
        <v>33</v>
      </c>
      <c r="F11" t="s">
        <v>51</v>
      </c>
      <c r="G11">
        <v>4400</v>
      </c>
      <c r="H11">
        <v>3093</v>
      </c>
      <c r="I11" t="s">
        <v>42</v>
      </c>
      <c r="K11" s="48" t="s">
        <v>42</v>
      </c>
      <c r="L11" s="49">
        <v>0</v>
      </c>
      <c r="M11" s="49">
        <v>1</v>
      </c>
      <c r="N11" s="49">
        <v>5</v>
      </c>
      <c r="O11" s="49">
        <v>0</v>
      </c>
      <c r="P11" s="49">
        <v>1</v>
      </c>
      <c r="Q11" s="49">
        <v>2</v>
      </c>
      <c r="R11" s="49">
        <v>2</v>
      </c>
      <c r="S11" s="49">
        <v>1</v>
      </c>
      <c r="T11" s="49">
        <v>0</v>
      </c>
      <c r="U11" s="49">
        <v>12</v>
      </c>
    </row>
    <row r="12" spans="1:21">
      <c r="A12">
        <v>18011</v>
      </c>
      <c r="B12" t="s">
        <v>59</v>
      </c>
      <c r="C12" t="s">
        <v>60</v>
      </c>
      <c r="D12" t="s">
        <v>32</v>
      </c>
      <c r="E12" t="s">
        <v>256</v>
      </c>
      <c r="F12" t="s">
        <v>51</v>
      </c>
      <c r="G12">
        <v>4400</v>
      </c>
      <c r="H12">
        <v>4350</v>
      </c>
      <c r="I12" t="s">
        <v>39</v>
      </c>
      <c r="K12" s="48" t="s">
        <v>269</v>
      </c>
      <c r="L12" s="49">
        <v>1</v>
      </c>
      <c r="M12" s="49">
        <v>4</v>
      </c>
      <c r="N12" s="49">
        <v>8</v>
      </c>
      <c r="O12" s="49">
        <v>1</v>
      </c>
      <c r="P12" s="49">
        <v>1</v>
      </c>
      <c r="Q12" s="49">
        <v>2</v>
      </c>
      <c r="R12" s="49">
        <v>4</v>
      </c>
      <c r="S12" s="49">
        <v>1</v>
      </c>
      <c r="T12" s="49">
        <v>1</v>
      </c>
      <c r="U12" s="49">
        <v>23</v>
      </c>
    </row>
    <row r="13" spans="1:21">
      <c r="A13">
        <v>18012</v>
      </c>
      <c r="B13" t="s">
        <v>61</v>
      </c>
      <c r="C13" t="s">
        <v>62</v>
      </c>
      <c r="D13" t="s">
        <v>32</v>
      </c>
      <c r="E13" t="s">
        <v>33</v>
      </c>
      <c r="F13" t="s">
        <v>63</v>
      </c>
      <c r="G13">
        <v>4400</v>
      </c>
      <c r="H13">
        <v>4381</v>
      </c>
      <c r="I13" t="s">
        <v>42</v>
      </c>
    </row>
    <row r="14" spans="1:21">
      <c r="A14">
        <v>18013</v>
      </c>
      <c r="B14" t="s">
        <v>64</v>
      </c>
      <c r="C14" t="s">
        <v>65</v>
      </c>
      <c r="D14" t="s">
        <v>54</v>
      </c>
      <c r="E14" t="s">
        <v>33</v>
      </c>
      <c r="F14" t="s">
        <v>63</v>
      </c>
      <c r="G14">
        <v>4400</v>
      </c>
      <c r="H14">
        <v>2379</v>
      </c>
      <c r="I14" t="s">
        <v>35</v>
      </c>
    </row>
    <row r="15" spans="1:21">
      <c r="A15">
        <v>18014</v>
      </c>
      <c r="B15" t="s">
        <v>66</v>
      </c>
      <c r="C15" t="s">
        <v>67</v>
      </c>
      <c r="D15" t="s">
        <v>54</v>
      </c>
      <c r="E15" t="s">
        <v>256</v>
      </c>
      <c r="F15" t="s">
        <v>63</v>
      </c>
      <c r="G15">
        <v>4400</v>
      </c>
      <c r="H15">
        <v>3764</v>
      </c>
      <c r="I15" t="s">
        <v>42</v>
      </c>
    </row>
    <row r="16" spans="1:21">
      <c r="A16">
        <v>18015</v>
      </c>
      <c r="B16" t="s">
        <v>68</v>
      </c>
      <c r="C16" t="s">
        <v>69</v>
      </c>
      <c r="D16" t="s">
        <v>54</v>
      </c>
      <c r="E16" t="s">
        <v>256</v>
      </c>
      <c r="F16" t="s">
        <v>63</v>
      </c>
      <c r="G16">
        <v>4400</v>
      </c>
      <c r="H16">
        <v>4337</v>
      </c>
      <c r="I16" t="s">
        <v>70</v>
      </c>
    </row>
    <row r="17" spans="1:9">
      <c r="A17">
        <v>18016</v>
      </c>
      <c r="B17" t="s">
        <v>71</v>
      </c>
      <c r="C17" t="s">
        <v>72</v>
      </c>
      <c r="D17" t="s">
        <v>32</v>
      </c>
      <c r="E17" t="s">
        <v>73</v>
      </c>
      <c r="F17" t="s">
        <v>74</v>
      </c>
      <c r="G17">
        <v>5500</v>
      </c>
      <c r="H17">
        <v>4744</v>
      </c>
      <c r="I17" t="s">
        <v>75</v>
      </c>
    </row>
    <row r="18" spans="1:9">
      <c r="A18">
        <v>18017</v>
      </c>
      <c r="B18" t="s">
        <v>76</v>
      </c>
      <c r="C18" t="s">
        <v>77</v>
      </c>
      <c r="D18" t="s">
        <v>54</v>
      </c>
      <c r="E18" t="s">
        <v>260</v>
      </c>
      <c r="F18" t="s">
        <v>74</v>
      </c>
      <c r="G18">
        <v>5500</v>
      </c>
      <c r="H18">
        <v>3165</v>
      </c>
      <c r="I18" t="s">
        <v>42</v>
      </c>
    </row>
    <row r="19" spans="1:9">
      <c r="A19">
        <v>18018</v>
      </c>
      <c r="B19" t="s">
        <v>78</v>
      </c>
      <c r="C19" t="s">
        <v>79</v>
      </c>
      <c r="D19" t="s">
        <v>54</v>
      </c>
      <c r="E19" t="s">
        <v>73</v>
      </c>
      <c r="F19" t="s">
        <v>74</v>
      </c>
      <c r="G19">
        <v>5500</v>
      </c>
      <c r="H19">
        <v>3674</v>
      </c>
      <c r="I19" t="s">
        <v>42</v>
      </c>
    </row>
    <row r="20" spans="1:9">
      <c r="A20">
        <v>18019</v>
      </c>
      <c r="B20" t="s">
        <v>80</v>
      </c>
      <c r="C20" t="s">
        <v>81</v>
      </c>
      <c r="D20" t="s">
        <v>32</v>
      </c>
      <c r="E20" t="s">
        <v>260</v>
      </c>
      <c r="F20" t="s">
        <v>82</v>
      </c>
      <c r="G20">
        <v>5500</v>
      </c>
      <c r="H20">
        <v>4326</v>
      </c>
      <c r="I20" t="s">
        <v>42</v>
      </c>
    </row>
    <row r="21" spans="1:9">
      <c r="A21">
        <v>18020</v>
      </c>
      <c r="B21" t="s">
        <v>83</v>
      </c>
      <c r="C21" t="s">
        <v>84</v>
      </c>
      <c r="D21" t="s">
        <v>32</v>
      </c>
      <c r="E21" t="s">
        <v>257</v>
      </c>
      <c r="F21" t="s">
        <v>85</v>
      </c>
      <c r="G21">
        <v>5500</v>
      </c>
      <c r="H21">
        <v>4938</v>
      </c>
      <c r="I21" t="s">
        <v>70</v>
      </c>
    </row>
    <row r="22" spans="1:9">
      <c r="A22">
        <v>18021</v>
      </c>
      <c r="B22" t="s">
        <v>86</v>
      </c>
      <c r="C22" t="s">
        <v>87</v>
      </c>
      <c r="D22" t="s">
        <v>32</v>
      </c>
      <c r="E22" t="s">
        <v>73</v>
      </c>
      <c r="F22" t="s">
        <v>85</v>
      </c>
      <c r="G22">
        <v>5500</v>
      </c>
      <c r="H22">
        <v>1803</v>
      </c>
      <c r="I22" t="s">
        <v>88</v>
      </c>
    </row>
    <row r="23" spans="1:9">
      <c r="A23">
        <v>18022</v>
      </c>
      <c r="B23" t="s">
        <v>89</v>
      </c>
      <c r="C23" t="s">
        <v>90</v>
      </c>
      <c r="D23" t="s">
        <v>32</v>
      </c>
      <c r="E23" t="s">
        <v>259</v>
      </c>
      <c r="F23" t="s">
        <v>85</v>
      </c>
      <c r="G23">
        <v>5500</v>
      </c>
      <c r="H23">
        <v>3373</v>
      </c>
      <c r="I23" t="s">
        <v>70</v>
      </c>
    </row>
    <row r="24" spans="1:9">
      <c r="A24">
        <v>18023</v>
      </c>
      <c r="B24" t="s">
        <v>91</v>
      </c>
      <c r="C24" t="s">
        <v>92</v>
      </c>
      <c r="D24" t="s">
        <v>32</v>
      </c>
      <c r="E24" t="s">
        <v>73</v>
      </c>
      <c r="F24" t="s">
        <v>85</v>
      </c>
      <c r="G24">
        <v>5500</v>
      </c>
      <c r="H24">
        <v>4117</v>
      </c>
      <c r="I24" t="s">
        <v>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E3EE8-524C-4045-897C-2FD27BB88327}">
  <dimension ref="A1:E133"/>
  <sheetViews>
    <sheetView topLeftCell="A113" workbookViewId="0">
      <selection sqref="A1:E133"/>
    </sheetView>
  </sheetViews>
  <sheetFormatPr defaultRowHeight="15"/>
  <sheetData>
    <row r="1" spans="1:5">
      <c r="A1" s="51" t="s">
        <v>21</v>
      </c>
      <c r="B1" s="51" t="s">
        <v>272</v>
      </c>
      <c r="C1" s="51" t="s">
        <v>273</v>
      </c>
      <c r="D1" s="51" t="s">
        <v>112</v>
      </c>
      <c r="E1" s="52" t="s">
        <v>274</v>
      </c>
    </row>
    <row r="2" spans="1:5">
      <c r="A2" s="51">
        <v>1</v>
      </c>
      <c r="B2" s="50" t="s">
        <v>275</v>
      </c>
      <c r="C2" s="50" t="s">
        <v>276</v>
      </c>
      <c r="D2" s="51">
        <v>22000</v>
      </c>
      <c r="E2" s="53">
        <v>45658</v>
      </c>
    </row>
    <row r="3" spans="1:5">
      <c r="A3" s="51">
        <v>2</v>
      </c>
      <c r="B3" s="50" t="s">
        <v>275</v>
      </c>
      <c r="C3" s="50" t="s">
        <v>277</v>
      </c>
      <c r="D3" s="51">
        <v>5000</v>
      </c>
      <c r="E3" s="53">
        <v>45659</v>
      </c>
    </row>
    <row r="4" spans="1:5">
      <c r="A4" s="51">
        <v>3</v>
      </c>
      <c r="B4" s="50" t="s">
        <v>275</v>
      </c>
      <c r="C4" s="51" t="s">
        <v>278</v>
      </c>
      <c r="D4" s="51">
        <v>6000</v>
      </c>
      <c r="E4" s="53">
        <v>45660</v>
      </c>
    </row>
    <row r="5" spans="1:5">
      <c r="A5" s="51">
        <v>4</v>
      </c>
      <c r="B5" s="50" t="s">
        <v>275</v>
      </c>
      <c r="C5" s="51" t="s">
        <v>279</v>
      </c>
      <c r="D5" s="51">
        <v>15000</v>
      </c>
      <c r="E5" s="53">
        <v>45661</v>
      </c>
    </row>
    <row r="6" spans="1:5">
      <c r="A6" s="51">
        <v>5</v>
      </c>
      <c r="B6" s="50" t="s">
        <v>280</v>
      </c>
      <c r="C6" s="51" t="s">
        <v>281</v>
      </c>
      <c r="D6" s="51">
        <v>200</v>
      </c>
      <c r="E6" s="53">
        <v>45662</v>
      </c>
    </row>
    <row r="7" spans="1:5">
      <c r="A7" s="51">
        <v>6</v>
      </c>
      <c r="B7" s="50" t="s">
        <v>280</v>
      </c>
      <c r="C7" s="50" t="s">
        <v>282</v>
      </c>
      <c r="D7" s="51">
        <v>1500</v>
      </c>
      <c r="E7" s="53">
        <v>45663</v>
      </c>
    </row>
    <row r="8" spans="1:5">
      <c r="A8" s="51">
        <v>7</v>
      </c>
      <c r="B8" s="50" t="s">
        <v>280</v>
      </c>
      <c r="C8" s="50" t="s">
        <v>283</v>
      </c>
      <c r="D8" s="51">
        <v>1800</v>
      </c>
      <c r="E8" s="53">
        <v>45664</v>
      </c>
    </row>
    <row r="9" spans="1:5">
      <c r="A9" s="51">
        <v>8</v>
      </c>
      <c r="B9" s="50" t="s">
        <v>280</v>
      </c>
      <c r="C9" s="50" t="s">
        <v>284</v>
      </c>
      <c r="D9" s="51">
        <v>800</v>
      </c>
      <c r="E9" s="53">
        <v>45665</v>
      </c>
    </row>
    <row r="10" spans="1:5">
      <c r="A10" s="51">
        <v>9</v>
      </c>
      <c r="B10" s="50" t="s">
        <v>280</v>
      </c>
      <c r="C10" s="50" t="s">
        <v>285</v>
      </c>
      <c r="D10" s="51">
        <v>1000</v>
      </c>
      <c r="E10" s="53">
        <v>45666</v>
      </c>
    </row>
    <row r="11" spans="1:5">
      <c r="A11" s="51">
        <v>10</v>
      </c>
      <c r="B11" s="50" t="s">
        <v>280</v>
      </c>
      <c r="C11" s="51" t="s">
        <v>286</v>
      </c>
      <c r="D11" s="51">
        <v>14000</v>
      </c>
      <c r="E11" s="53">
        <v>45667</v>
      </c>
    </row>
    <row r="12" spans="1:5">
      <c r="A12" s="51">
        <v>11</v>
      </c>
      <c r="B12" s="50" t="s">
        <v>280</v>
      </c>
      <c r="C12" s="51" t="s">
        <v>287</v>
      </c>
      <c r="D12" s="51">
        <v>300</v>
      </c>
      <c r="E12" s="53">
        <v>45668</v>
      </c>
    </row>
    <row r="13" spans="1:5">
      <c r="A13" s="51">
        <v>12</v>
      </c>
      <c r="B13" s="50" t="s">
        <v>275</v>
      </c>
      <c r="C13" s="50" t="s">
        <v>276</v>
      </c>
      <c r="D13" s="51">
        <v>18000</v>
      </c>
      <c r="E13" s="53">
        <v>45689</v>
      </c>
    </row>
    <row r="14" spans="1:5">
      <c r="A14" s="51">
        <v>13</v>
      </c>
      <c r="B14" s="50" t="s">
        <v>275</v>
      </c>
      <c r="C14" s="50" t="s">
        <v>277</v>
      </c>
      <c r="D14" s="51">
        <v>0</v>
      </c>
      <c r="E14" s="53">
        <v>45690</v>
      </c>
    </row>
    <row r="15" spans="1:5">
      <c r="A15" s="51">
        <v>14</v>
      </c>
      <c r="B15" s="50" t="s">
        <v>275</v>
      </c>
      <c r="C15" s="51" t="s">
        <v>278</v>
      </c>
      <c r="D15" s="51">
        <v>0</v>
      </c>
      <c r="E15" s="53">
        <v>45691</v>
      </c>
    </row>
    <row r="16" spans="1:5">
      <c r="A16" s="51">
        <v>15</v>
      </c>
      <c r="B16" s="50" t="s">
        <v>275</v>
      </c>
      <c r="C16" s="51" t="s">
        <v>279</v>
      </c>
      <c r="D16" s="51">
        <v>13000</v>
      </c>
      <c r="E16" s="53">
        <v>45692</v>
      </c>
    </row>
    <row r="17" spans="1:5">
      <c r="A17" s="51">
        <v>16</v>
      </c>
      <c r="B17" s="50" t="s">
        <v>280</v>
      </c>
      <c r="C17" s="51" t="s">
        <v>281</v>
      </c>
      <c r="D17" s="51">
        <v>0</v>
      </c>
      <c r="E17" s="53">
        <v>45693</v>
      </c>
    </row>
    <row r="18" spans="1:5">
      <c r="A18" s="51">
        <v>17</v>
      </c>
      <c r="B18" s="50" t="s">
        <v>280</v>
      </c>
      <c r="C18" s="50" t="s">
        <v>282</v>
      </c>
      <c r="D18" s="51">
        <v>1200</v>
      </c>
      <c r="E18" s="53">
        <v>45694</v>
      </c>
    </row>
    <row r="19" spans="1:5">
      <c r="A19" s="51">
        <v>18</v>
      </c>
      <c r="B19" s="50" t="s">
        <v>280</v>
      </c>
      <c r="C19" s="50" t="s">
        <v>283</v>
      </c>
      <c r="D19" s="51">
        <v>1600</v>
      </c>
      <c r="E19" s="53">
        <v>45695</v>
      </c>
    </row>
    <row r="20" spans="1:5">
      <c r="A20" s="51">
        <v>19</v>
      </c>
      <c r="B20" s="50" t="s">
        <v>280</v>
      </c>
      <c r="C20" s="50" t="s">
        <v>284</v>
      </c>
      <c r="D20" s="51">
        <v>1000</v>
      </c>
      <c r="E20" s="53">
        <v>45696</v>
      </c>
    </row>
    <row r="21" spans="1:5">
      <c r="A21" s="51">
        <v>20</v>
      </c>
      <c r="B21" s="50" t="s">
        <v>280</v>
      </c>
      <c r="C21" s="50" t="s">
        <v>285</v>
      </c>
      <c r="D21" s="51">
        <v>1000</v>
      </c>
      <c r="E21" s="53">
        <v>45697</v>
      </c>
    </row>
    <row r="22" spans="1:5">
      <c r="A22" s="51">
        <v>21</v>
      </c>
      <c r="B22" s="50" t="s">
        <v>280</v>
      </c>
      <c r="C22" s="51" t="s">
        <v>286</v>
      </c>
      <c r="D22" s="51">
        <v>14000</v>
      </c>
      <c r="E22" s="53">
        <v>45698</v>
      </c>
    </row>
    <row r="23" spans="1:5">
      <c r="A23" s="51">
        <v>22</v>
      </c>
      <c r="B23" s="50" t="s">
        <v>280</v>
      </c>
      <c r="C23" s="51" t="s">
        <v>287</v>
      </c>
      <c r="D23" s="51">
        <v>100</v>
      </c>
      <c r="E23" s="53">
        <v>45699</v>
      </c>
    </row>
    <row r="24" spans="1:5">
      <c r="A24" s="51">
        <v>23</v>
      </c>
      <c r="B24" s="50" t="s">
        <v>275</v>
      </c>
      <c r="C24" s="50" t="s">
        <v>276</v>
      </c>
      <c r="D24" s="51">
        <v>15000</v>
      </c>
      <c r="E24" s="53">
        <v>45717</v>
      </c>
    </row>
    <row r="25" spans="1:5">
      <c r="A25" s="51">
        <v>24</v>
      </c>
      <c r="B25" s="50" t="s">
        <v>275</v>
      </c>
      <c r="C25" s="50" t="s">
        <v>277</v>
      </c>
      <c r="D25" s="51">
        <v>0</v>
      </c>
      <c r="E25" s="53">
        <v>45718</v>
      </c>
    </row>
    <row r="26" spans="1:5">
      <c r="A26" s="51">
        <v>25</v>
      </c>
      <c r="B26" s="50" t="s">
        <v>275</v>
      </c>
      <c r="C26" s="51" t="s">
        <v>278</v>
      </c>
      <c r="D26" s="51">
        <v>8000</v>
      </c>
      <c r="E26" s="53">
        <v>45719</v>
      </c>
    </row>
    <row r="27" spans="1:5">
      <c r="A27" s="51">
        <v>26</v>
      </c>
      <c r="B27" s="50" t="s">
        <v>275</v>
      </c>
      <c r="C27" s="51" t="s">
        <v>279</v>
      </c>
      <c r="D27" s="51">
        <v>14000</v>
      </c>
      <c r="E27" s="53">
        <v>45720</v>
      </c>
    </row>
    <row r="28" spans="1:5">
      <c r="A28" s="51">
        <v>27</v>
      </c>
      <c r="B28" s="50" t="s">
        <v>280</v>
      </c>
      <c r="C28" s="51" t="s">
        <v>281</v>
      </c>
      <c r="D28" s="51">
        <v>0</v>
      </c>
      <c r="E28" s="53">
        <v>45721</v>
      </c>
    </row>
    <row r="29" spans="1:5">
      <c r="A29" s="51">
        <v>28</v>
      </c>
      <c r="B29" s="50" t="s">
        <v>280</v>
      </c>
      <c r="C29" s="50" t="s">
        <v>282</v>
      </c>
      <c r="D29" s="51">
        <v>1200</v>
      </c>
      <c r="E29" s="53">
        <v>45722</v>
      </c>
    </row>
    <row r="30" spans="1:5">
      <c r="A30" s="51">
        <v>29</v>
      </c>
      <c r="B30" s="50" t="s">
        <v>280</v>
      </c>
      <c r="C30" s="50" t="s">
        <v>283</v>
      </c>
      <c r="D30" s="51">
        <v>2200</v>
      </c>
      <c r="E30" s="53">
        <v>45723</v>
      </c>
    </row>
    <row r="31" spans="1:5">
      <c r="A31" s="51">
        <v>30</v>
      </c>
      <c r="B31" s="50" t="s">
        <v>280</v>
      </c>
      <c r="C31" s="50" t="s">
        <v>284</v>
      </c>
      <c r="D31" s="51">
        <v>1000</v>
      </c>
      <c r="E31" s="53">
        <v>45724</v>
      </c>
    </row>
    <row r="32" spans="1:5">
      <c r="A32" s="51">
        <v>31</v>
      </c>
      <c r="B32" s="50" t="s">
        <v>280</v>
      </c>
      <c r="C32" s="50" t="s">
        <v>285</v>
      </c>
      <c r="D32" s="51">
        <v>1000</v>
      </c>
      <c r="E32" s="53">
        <v>45725</v>
      </c>
    </row>
    <row r="33" spans="1:5">
      <c r="A33" s="51">
        <v>32</v>
      </c>
      <c r="B33" s="50" t="s">
        <v>280</v>
      </c>
      <c r="C33" s="51" t="s">
        <v>286</v>
      </c>
      <c r="D33" s="51">
        <v>14000</v>
      </c>
      <c r="E33" s="53">
        <v>45726</v>
      </c>
    </row>
    <row r="34" spans="1:5">
      <c r="A34" s="51">
        <v>33</v>
      </c>
      <c r="B34" s="50" t="s">
        <v>280</v>
      </c>
      <c r="C34" s="51" t="s">
        <v>287</v>
      </c>
      <c r="D34" s="51">
        <v>100</v>
      </c>
      <c r="E34" s="53">
        <v>45727</v>
      </c>
    </row>
    <row r="35" spans="1:5">
      <c r="A35" s="51">
        <v>34</v>
      </c>
      <c r="B35" s="50" t="s">
        <v>275</v>
      </c>
      <c r="C35" s="50" t="s">
        <v>276</v>
      </c>
      <c r="D35" s="51">
        <v>25200</v>
      </c>
      <c r="E35" s="53">
        <v>45748</v>
      </c>
    </row>
    <row r="36" spans="1:5">
      <c r="A36" s="51">
        <v>35</v>
      </c>
      <c r="B36" s="50" t="s">
        <v>275</v>
      </c>
      <c r="C36" s="50" t="s">
        <v>277</v>
      </c>
      <c r="D36" s="51">
        <v>3000</v>
      </c>
      <c r="E36" s="53">
        <v>45749</v>
      </c>
    </row>
    <row r="37" spans="1:5">
      <c r="A37" s="51">
        <v>36</v>
      </c>
      <c r="B37" s="50" t="s">
        <v>275</v>
      </c>
      <c r="C37" s="51" t="s">
        <v>278</v>
      </c>
      <c r="D37" s="51">
        <v>0</v>
      </c>
      <c r="E37" s="53">
        <v>45750</v>
      </c>
    </row>
    <row r="38" spans="1:5">
      <c r="A38" s="51">
        <v>37</v>
      </c>
      <c r="B38" s="50" t="s">
        <v>275</v>
      </c>
      <c r="C38" s="51" t="s">
        <v>279</v>
      </c>
      <c r="D38" s="51">
        <v>16000</v>
      </c>
      <c r="E38" s="53">
        <v>45751</v>
      </c>
    </row>
    <row r="39" spans="1:5">
      <c r="A39" s="51">
        <v>38</v>
      </c>
      <c r="B39" s="50" t="s">
        <v>280</v>
      </c>
      <c r="C39" s="51" t="s">
        <v>281</v>
      </c>
      <c r="D39" s="51">
        <v>0</v>
      </c>
      <c r="E39" s="53">
        <v>45752</v>
      </c>
    </row>
    <row r="40" spans="1:5">
      <c r="A40" s="51">
        <v>39</v>
      </c>
      <c r="B40" s="50" t="s">
        <v>280</v>
      </c>
      <c r="C40" s="50" t="s">
        <v>282</v>
      </c>
      <c r="D40" s="51">
        <v>2000</v>
      </c>
      <c r="E40" s="53">
        <v>45753</v>
      </c>
    </row>
    <row r="41" spans="1:5">
      <c r="A41" s="51">
        <v>40</v>
      </c>
      <c r="B41" s="50" t="s">
        <v>280</v>
      </c>
      <c r="C41" s="50" t="s">
        <v>283</v>
      </c>
      <c r="D41" s="51">
        <v>2300</v>
      </c>
      <c r="E41" s="53">
        <v>45754</v>
      </c>
    </row>
    <row r="42" spans="1:5">
      <c r="A42" s="51">
        <v>41</v>
      </c>
      <c r="B42" s="50" t="s">
        <v>280</v>
      </c>
      <c r="C42" s="50" t="s">
        <v>284</v>
      </c>
      <c r="D42" s="51">
        <v>1600</v>
      </c>
      <c r="E42" s="53">
        <v>45755</v>
      </c>
    </row>
    <row r="43" spans="1:5">
      <c r="A43" s="51">
        <v>42</v>
      </c>
      <c r="B43" s="50" t="s">
        <v>280</v>
      </c>
      <c r="C43" s="50" t="s">
        <v>285</v>
      </c>
      <c r="D43" s="51">
        <v>1000</v>
      </c>
      <c r="E43" s="53">
        <v>45756</v>
      </c>
    </row>
    <row r="44" spans="1:5">
      <c r="A44" s="51">
        <v>43</v>
      </c>
      <c r="B44" s="50" t="s">
        <v>280</v>
      </c>
      <c r="C44" s="51" t="s">
        <v>286</v>
      </c>
      <c r="D44" s="51">
        <v>14000</v>
      </c>
      <c r="E44" s="53">
        <v>45757</v>
      </c>
    </row>
    <row r="45" spans="1:5">
      <c r="A45" s="51">
        <v>44</v>
      </c>
      <c r="B45" s="50" t="s">
        <v>280</v>
      </c>
      <c r="C45" s="51" t="s">
        <v>287</v>
      </c>
      <c r="D45" s="51">
        <v>100</v>
      </c>
      <c r="E45" s="53">
        <v>45758</v>
      </c>
    </row>
    <row r="46" spans="1:5">
      <c r="A46" s="51">
        <v>45</v>
      </c>
      <c r="B46" s="50" t="s">
        <v>275</v>
      </c>
      <c r="C46" s="50" t="s">
        <v>276</v>
      </c>
      <c r="D46" s="51">
        <v>17000</v>
      </c>
      <c r="E46" s="53">
        <v>45778</v>
      </c>
    </row>
    <row r="47" spans="1:5">
      <c r="A47" s="51">
        <v>46</v>
      </c>
      <c r="B47" s="50" t="s">
        <v>275</v>
      </c>
      <c r="C47" s="50" t="s">
        <v>277</v>
      </c>
      <c r="D47" s="51">
        <v>0</v>
      </c>
      <c r="E47" s="53">
        <v>45779</v>
      </c>
    </row>
    <row r="48" spans="1:5">
      <c r="A48" s="51">
        <v>47</v>
      </c>
      <c r="B48" s="50" t="s">
        <v>275</v>
      </c>
      <c r="C48" s="51" t="s">
        <v>278</v>
      </c>
      <c r="D48" s="51">
        <v>0</v>
      </c>
      <c r="E48" s="53">
        <v>45780</v>
      </c>
    </row>
    <row r="49" spans="1:5">
      <c r="A49" s="51">
        <v>48</v>
      </c>
      <c r="B49" s="50" t="s">
        <v>275</v>
      </c>
      <c r="C49" s="51" t="s">
        <v>279</v>
      </c>
      <c r="D49" s="51">
        <v>13000</v>
      </c>
      <c r="E49" s="53">
        <v>45781</v>
      </c>
    </row>
    <row r="50" spans="1:5">
      <c r="A50" s="51">
        <v>49</v>
      </c>
      <c r="B50" s="50" t="s">
        <v>280</v>
      </c>
      <c r="C50" s="51" t="s">
        <v>281</v>
      </c>
      <c r="D50" s="51">
        <v>0</v>
      </c>
      <c r="E50" s="53">
        <v>45782</v>
      </c>
    </row>
    <row r="51" spans="1:5">
      <c r="A51" s="51">
        <v>50</v>
      </c>
      <c r="B51" s="50" t="s">
        <v>280</v>
      </c>
      <c r="C51" s="50" t="s">
        <v>282</v>
      </c>
      <c r="D51" s="51">
        <v>1200</v>
      </c>
      <c r="E51" s="53">
        <v>45783</v>
      </c>
    </row>
    <row r="52" spans="1:5">
      <c r="A52" s="51">
        <v>51</v>
      </c>
      <c r="B52" s="50" t="s">
        <v>280</v>
      </c>
      <c r="C52" s="50" t="s">
        <v>283</v>
      </c>
      <c r="D52" s="51">
        <v>2000</v>
      </c>
      <c r="E52" s="53">
        <v>45784</v>
      </c>
    </row>
    <row r="53" spans="1:5">
      <c r="A53" s="51">
        <v>52</v>
      </c>
      <c r="B53" s="50" t="s">
        <v>280</v>
      </c>
      <c r="C53" s="50" t="s">
        <v>284</v>
      </c>
      <c r="D53" s="51">
        <v>1000</v>
      </c>
      <c r="E53" s="53">
        <v>45785</v>
      </c>
    </row>
    <row r="54" spans="1:5">
      <c r="A54" s="51">
        <v>53</v>
      </c>
      <c r="B54" s="50" t="s">
        <v>280</v>
      </c>
      <c r="C54" s="50" t="s">
        <v>285</v>
      </c>
      <c r="D54" s="51">
        <v>1000</v>
      </c>
      <c r="E54" s="53">
        <v>45786</v>
      </c>
    </row>
    <row r="55" spans="1:5">
      <c r="A55" s="51">
        <v>54</v>
      </c>
      <c r="B55" s="50" t="s">
        <v>280</v>
      </c>
      <c r="C55" s="51" t="s">
        <v>286</v>
      </c>
      <c r="D55" s="51">
        <v>14000</v>
      </c>
      <c r="E55" s="53">
        <v>45787</v>
      </c>
    </row>
    <row r="56" spans="1:5">
      <c r="A56" s="51">
        <v>55</v>
      </c>
      <c r="B56" s="50" t="s">
        <v>280</v>
      </c>
      <c r="C56" s="51" t="s">
        <v>287</v>
      </c>
      <c r="D56" s="51">
        <v>100</v>
      </c>
      <c r="E56" s="53">
        <v>45788</v>
      </c>
    </row>
    <row r="57" spans="1:5">
      <c r="A57" s="51">
        <v>56</v>
      </c>
      <c r="B57" s="50" t="s">
        <v>275</v>
      </c>
      <c r="C57" s="50" t="s">
        <v>276</v>
      </c>
      <c r="D57" s="51">
        <v>3000</v>
      </c>
      <c r="E57" s="53">
        <v>45809</v>
      </c>
    </row>
    <row r="58" spans="1:5">
      <c r="A58" s="51">
        <v>57</v>
      </c>
      <c r="B58" s="50" t="s">
        <v>275</v>
      </c>
      <c r="C58" s="50" t="s">
        <v>277</v>
      </c>
      <c r="D58" s="51">
        <v>0</v>
      </c>
      <c r="E58" s="53">
        <v>45810</v>
      </c>
    </row>
    <row r="59" spans="1:5">
      <c r="A59" s="51">
        <v>58</v>
      </c>
      <c r="B59" s="50" t="s">
        <v>275</v>
      </c>
      <c r="C59" s="51" t="s">
        <v>278</v>
      </c>
      <c r="D59" s="51">
        <v>0</v>
      </c>
      <c r="E59" s="53">
        <v>45811</v>
      </c>
    </row>
    <row r="60" spans="1:5">
      <c r="A60" s="51">
        <v>59</v>
      </c>
      <c r="B60" s="50" t="s">
        <v>275</v>
      </c>
      <c r="C60" s="51" t="s">
        <v>279</v>
      </c>
      <c r="D60" s="51">
        <v>10000</v>
      </c>
      <c r="E60" s="53">
        <v>45812</v>
      </c>
    </row>
    <row r="61" spans="1:5">
      <c r="A61" s="51">
        <v>60</v>
      </c>
      <c r="B61" s="50" t="s">
        <v>280</v>
      </c>
      <c r="C61" s="51" t="s">
        <v>281</v>
      </c>
      <c r="D61" s="51">
        <v>0</v>
      </c>
      <c r="E61" s="53">
        <v>45813</v>
      </c>
    </row>
    <row r="62" spans="1:5">
      <c r="A62" s="51">
        <v>61</v>
      </c>
      <c r="B62" s="50" t="s">
        <v>280</v>
      </c>
      <c r="C62" s="50" t="s">
        <v>282</v>
      </c>
      <c r="D62" s="51">
        <v>1200</v>
      </c>
      <c r="E62" s="53">
        <v>45814</v>
      </c>
    </row>
    <row r="63" spans="1:5">
      <c r="A63" s="51">
        <v>62</v>
      </c>
      <c r="B63" s="50" t="s">
        <v>280</v>
      </c>
      <c r="C63" s="50" t="s">
        <v>283</v>
      </c>
      <c r="D63" s="51">
        <v>2000</v>
      </c>
      <c r="E63" s="53">
        <v>45815</v>
      </c>
    </row>
    <row r="64" spans="1:5">
      <c r="A64" s="51">
        <v>63</v>
      </c>
      <c r="B64" s="50" t="s">
        <v>280</v>
      </c>
      <c r="C64" s="50" t="s">
        <v>284</v>
      </c>
      <c r="D64" s="51">
        <v>1000</v>
      </c>
      <c r="E64" s="53">
        <v>45816</v>
      </c>
    </row>
    <row r="65" spans="1:5">
      <c r="A65" s="51">
        <v>64</v>
      </c>
      <c r="B65" s="50" t="s">
        <v>280</v>
      </c>
      <c r="C65" s="50" t="s">
        <v>285</v>
      </c>
      <c r="D65" s="51">
        <v>1000</v>
      </c>
      <c r="E65" s="53">
        <v>45817</v>
      </c>
    </row>
    <row r="66" spans="1:5">
      <c r="A66" s="51">
        <v>65</v>
      </c>
      <c r="B66" s="50" t="s">
        <v>280</v>
      </c>
      <c r="C66" s="51" t="s">
        <v>286</v>
      </c>
      <c r="D66" s="51">
        <v>14000</v>
      </c>
      <c r="E66" s="53">
        <v>45818</v>
      </c>
    </row>
    <row r="67" spans="1:5">
      <c r="A67" s="51">
        <v>66</v>
      </c>
      <c r="B67" s="50" t="s">
        <v>280</v>
      </c>
      <c r="C67" s="51" t="s">
        <v>287</v>
      </c>
      <c r="D67" s="51">
        <v>100</v>
      </c>
      <c r="E67" s="53">
        <v>45819</v>
      </c>
    </row>
    <row r="68" spans="1:5">
      <c r="A68" s="51">
        <v>67</v>
      </c>
      <c r="B68" s="50" t="s">
        <v>275</v>
      </c>
      <c r="C68" s="50" t="s">
        <v>276</v>
      </c>
      <c r="D68" s="51">
        <v>18000</v>
      </c>
      <c r="E68" s="53">
        <v>45839</v>
      </c>
    </row>
    <row r="69" spans="1:5">
      <c r="A69" s="51">
        <v>68</v>
      </c>
      <c r="B69" s="50" t="s">
        <v>275</v>
      </c>
      <c r="C69" s="50" t="s">
        <v>277</v>
      </c>
      <c r="D69" s="51">
        <v>0</v>
      </c>
      <c r="E69" s="53">
        <v>45840</v>
      </c>
    </row>
    <row r="70" spans="1:5">
      <c r="A70" s="51">
        <v>69</v>
      </c>
      <c r="B70" s="50" t="s">
        <v>275</v>
      </c>
      <c r="C70" s="51" t="s">
        <v>278</v>
      </c>
      <c r="D70" s="51">
        <v>0</v>
      </c>
      <c r="E70" s="53">
        <v>45841</v>
      </c>
    </row>
    <row r="71" spans="1:5">
      <c r="A71" s="51">
        <v>70</v>
      </c>
      <c r="B71" s="50" t="s">
        <v>275</v>
      </c>
      <c r="C71" s="51" t="s">
        <v>279</v>
      </c>
      <c r="D71" s="51">
        <v>13000</v>
      </c>
      <c r="E71" s="53">
        <v>45842</v>
      </c>
    </row>
    <row r="72" spans="1:5">
      <c r="A72" s="51">
        <v>71</v>
      </c>
      <c r="B72" s="50" t="s">
        <v>280</v>
      </c>
      <c r="C72" s="51" t="s">
        <v>281</v>
      </c>
      <c r="D72" s="51">
        <v>0</v>
      </c>
      <c r="E72" s="53">
        <v>45843</v>
      </c>
    </row>
    <row r="73" spans="1:5">
      <c r="A73" s="51">
        <v>72</v>
      </c>
      <c r="B73" s="50" t="s">
        <v>280</v>
      </c>
      <c r="C73" s="50" t="s">
        <v>282</v>
      </c>
      <c r="D73" s="51">
        <v>1200</v>
      </c>
      <c r="E73" s="53">
        <v>45844</v>
      </c>
    </row>
    <row r="74" spans="1:5">
      <c r="A74" s="51">
        <v>73</v>
      </c>
      <c r="B74" s="50" t="s">
        <v>280</v>
      </c>
      <c r="C74" s="50" t="s">
        <v>283</v>
      </c>
      <c r="D74" s="51">
        <v>2000</v>
      </c>
      <c r="E74" s="53">
        <v>45845</v>
      </c>
    </row>
    <row r="75" spans="1:5">
      <c r="A75" s="51">
        <v>74</v>
      </c>
      <c r="B75" s="50" t="s">
        <v>280</v>
      </c>
      <c r="C75" s="50" t="s">
        <v>284</v>
      </c>
      <c r="D75" s="51">
        <v>1000</v>
      </c>
      <c r="E75" s="53">
        <v>45846</v>
      </c>
    </row>
    <row r="76" spans="1:5">
      <c r="A76" s="51">
        <v>75</v>
      </c>
      <c r="B76" s="50" t="s">
        <v>280</v>
      </c>
      <c r="C76" s="50" t="s">
        <v>285</v>
      </c>
      <c r="D76" s="51">
        <v>1000</v>
      </c>
      <c r="E76" s="53">
        <v>45847</v>
      </c>
    </row>
    <row r="77" spans="1:5">
      <c r="A77" s="51">
        <v>76</v>
      </c>
      <c r="B77" s="50" t="s">
        <v>280</v>
      </c>
      <c r="C77" s="51" t="s">
        <v>286</v>
      </c>
      <c r="D77" s="51">
        <v>14000</v>
      </c>
      <c r="E77" s="53">
        <v>45848</v>
      </c>
    </row>
    <row r="78" spans="1:5">
      <c r="A78" s="51">
        <v>77</v>
      </c>
      <c r="B78" s="50" t="s">
        <v>280</v>
      </c>
      <c r="C78" s="51" t="s">
        <v>287</v>
      </c>
      <c r="D78" s="51">
        <v>100</v>
      </c>
      <c r="E78" s="53">
        <v>45849</v>
      </c>
    </row>
    <row r="79" spans="1:5">
      <c r="A79" s="51">
        <v>78</v>
      </c>
      <c r="B79" s="50" t="s">
        <v>275</v>
      </c>
      <c r="C79" s="50" t="s">
        <v>276</v>
      </c>
      <c r="D79" s="51">
        <v>20000</v>
      </c>
      <c r="E79" s="53">
        <v>45870</v>
      </c>
    </row>
    <row r="80" spans="1:5">
      <c r="A80" s="51">
        <v>79</v>
      </c>
      <c r="B80" s="50" t="s">
        <v>275</v>
      </c>
      <c r="C80" s="50" t="s">
        <v>277</v>
      </c>
      <c r="D80" s="51">
        <v>0</v>
      </c>
      <c r="E80" s="53">
        <v>45871</v>
      </c>
    </row>
    <row r="81" spans="1:5">
      <c r="A81" s="51">
        <v>80</v>
      </c>
      <c r="B81" s="50" t="s">
        <v>275</v>
      </c>
      <c r="C81" s="51" t="s">
        <v>278</v>
      </c>
      <c r="D81" s="51">
        <v>0</v>
      </c>
      <c r="E81" s="53">
        <v>45872</v>
      </c>
    </row>
    <row r="82" spans="1:5">
      <c r="A82" s="51">
        <v>81</v>
      </c>
      <c r="B82" s="50" t="s">
        <v>275</v>
      </c>
      <c r="C82" s="51" t="s">
        <v>279</v>
      </c>
      <c r="D82" s="51">
        <v>15000</v>
      </c>
      <c r="E82" s="53">
        <v>45873</v>
      </c>
    </row>
    <row r="83" spans="1:5">
      <c r="A83" s="51">
        <v>82</v>
      </c>
      <c r="B83" s="50" t="s">
        <v>280</v>
      </c>
      <c r="C83" s="51" t="s">
        <v>281</v>
      </c>
      <c r="D83" s="51">
        <v>0</v>
      </c>
      <c r="E83" s="53">
        <v>45874</v>
      </c>
    </row>
    <row r="84" spans="1:5">
      <c r="A84" s="51">
        <v>83</v>
      </c>
      <c r="B84" s="50" t="s">
        <v>280</v>
      </c>
      <c r="C84" s="50" t="s">
        <v>282</v>
      </c>
      <c r="D84" s="51">
        <v>1200</v>
      </c>
      <c r="E84" s="53">
        <v>45875</v>
      </c>
    </row>
    <row r="85" spans="1:5">
      <c r="A85" s="51">
        <v>84</v>
      </c>
      <c r="B85" s="50" t="s">
        <v>280</v>
      </c>
      <c r="C85" s="50" t="s">
        <v>283</v>
      </c>
      <c r="D85" s="51">
        <v>2000</v>
      </c>
      <c r="E85" s="53">
        <v>45876</v>
      </c>
    </row>
    <row r="86" spans="1:5">
      <c r="A86" s="51">
        <v>85</v>
      </c>
      <c r="B86" s="50" t="s">
        <v>280</v>
      </c>
      <c r="C86" s="50" t="s">
        <v>284</v>
      </c>
      <c r="D86" s="51">
        <v>1000</v>
      </c>
      <c r="E86" s="53">
        <v>45877</v>
      </c>
    </row>
    <row r="87" spans="1:5">
      <c r="A87" s="51">
        <v>86</v>
      </c>
      <c r="B87" s="50" t="s">
        <v>280</v>
      </c>
      <c r="C87" s="50" t="s">
        <v>285</v>
      </c>
      <c r="D87" s="51">
        <v>1000</v>
      </c>
      <c r="E87" s="53">
        <v>45878</v>
      </c>
    </row>
    <row r="88" spans="1:5">
      <c r="A88" s="51">
        <v>87</v>
      </c>
      <c r="B88" s="50" t="s">
        <v>280</v>
      </c>
      <c r="C88" s="51" t="s">
        <v>286</v>
      </c>
      <c r="D88" s="51">
        <v>14000</v>
      </c>
      <c r="E88" s="53">
        <v>45879</v>
      </c>
    </row>
    <row r="89" spans="1:5">
      <c r="A89" s="51">
        <v>88</v>
      </c>
      <c r="B89" s="50" t="s">
        <v>280</v>
      </c>
      <c r="C89" s="51" t="s">
        <v>287</v>
      </c>
      <c r="D89" s="51">
        <v>100</v>
      </c>
      <c r="E89" s="53">
        <v>45880</v>
      </c>
    </row>
    <row r="90" spans="1:5">
      <c r="A90" s="51">
        <v>89</v>
      </c>
      <c r="B90" s="50" t="s">
        <v>275</v>
      </c>
      <c r="C90" s="50" t="s">
        <v>276</v>
      </c>
      <c r="D90" s="51">
        <v>23000</v>
      </c>
      <c r="E90" s="53">
        <v>45901</v>
      </c>
    </row>
    <row r="91" spans="1:5">
      <c r="A91" s="51">
        <v>90</v>
      </c>
      <c r="B91" s="50" t="s">
        <v>275</v>
      </c>
      <c r="C91" s="50" t="s">
        <v>277</v>
      </c>
      <c r="D91" s="51">
        <v>0</v>
      </c>
      <c r="E91" s="53">
        <v>45902</v>
      </c>
    </row>
    <row r="92" spans="1:5">
      <c r="A92" s="51">
        <v>91</v>
      </c>
      <c r="B92" s="50" t="s">
        <v>275</v>
      </c>
      <c r="C92" s="51" t="s">
        <v>278</v>
      </c>
      <c r="D92" s="51">
        <v>0</v>
      </c>
      <c r="E92" s="53">
        <v>45903</v>
      </c>
    </row>
    <row r="93" spans="1:5">
      <c r="A93" s="51">
        <v>92</v>
      </c>
      <c r="B93" s="50" t="s">
        <v>275</v>
      </c>
      <c r="C93" s="51" t="s">
        <v>279</v>
      </c>
      <c r="D93" s="51">
        <v>32000</v>
      </c>
      <c r="E93" s="53">
        <v>45904</v>
      </c>
    </row>
    <row r="94" spans="1:5">
      <c r="A94" s="51">
        <v>93</v>
      </c>
      <c r="B94" s="50" t="s">
        <v>280</v>
      </c>
      <c r="C94" s="51" t="s">
        <v>281</v>
      </c>
      <c r="D94" s="51">
        <v>0</v>
      </c>
      <c r="E94" s="53">
        <v>45905</v>
      </c>
    </row>
    <row r="95" spans="1:5">
      <c r="A95" s="51">
        <v>94</v>
      </c>
      <c r="B95" s="50" t="s">
        <v>280</v>
      </c>
      <c r="C95" s="50" t="s">
        <v>282</v>
      </c>
      <c r="D95" s="51">
        <v>1200</v>
      </c>
      <c r="E95" s="53">
        <v>45906</v>
      </c>
    </row>
    <row r="96" spans="1:5">
      <c r="A96" s="51">
        <v>95</v>
      </c>
      <c r="B96" s="50" t="s">
        <v>280</v>
      </c>
      <c r="C96" s="50" t="s">
        <v>283</v>
      </c>
      <c r="D96" s="51">
        <v>2500</v>
      </c>
      <c r="E96" s="53">
        <v>45907</v>
      </c>
    </row>
    <row r="97" spans="1:5">
      <c r="A97" s="51">
        <v>96</v>
      </c>
      <c r="B97" s="50" t="s">
        <v>280</v>
      </c>
      <c r="C97" s="50" t="s">
        <v>284</v>
      </c>
      <c r="D97" s="51">
        <v>1800</v>
      </c>
      <c r="E97" s="53">
        <v>45908</v>
      </c>
    </row>
    <row r="98" spans="1:5">
      <c r="A98" s="51">
        <v>97</v>
      </c>
      <c r="B98" s="50" t="s">
        <v>280</v>
      </c>
      <c r="C98" s="50" t="s">
        <v>285</v>
      </c>
      <c r="D98" s="51">
        <v>1000</v>
      </c>
      <c r="E98" s="53">
        <v>45909</v>
      </c>
    </row>
    <row r="99" spans="1:5">
      <c r="A99" s="51">
        <v>98</v>
      </c>
      <c r="B99" s="50" t="s">
        <v>280</v>
      </c>
      <c r="C99" s="51" t="s">
        <v>286</v>
      </c>
      <c r="D99" s="51">
        <v>14000</v>
      </c>
      <c r="E99" s="53">
        <v>45910</v>
      </c>
    </row>
    <row r="100" spans="1:5">
      <c r="A100" s="51">
        <v>99</v>
      </c>
      <c r="B100" s="50" t="s">
        <v>280</v>
      </c>
      <c r="C100" s="51" t="s">
        <v>287</v>
      </c>
      <c r="D100" s="51">
        <v>100</v>
      </c>
      <c r="E100" s="53">
        <v>45911</v>
      </c>
    </row>
    <row r="101" spans="1:5">
      <c r="A101" s="51">
        <v>100</v>
      </c>
      <c r="B101" s="50" t="s">
        <v>275</v>
      </c>
      <c r="C101" s="50" t="s">
        <v>276</v>
      </c>
      <c r="D101" s="51">
        <v>30000</v>
      </c>
      <c r="E101" s="53">
        <v>45931</v>
      </c>
    </row>
    <row r="102" spans="1:5">
      <c r="A102" s="51">
        <v>101</v>
      </c>
      <c r="B102" s="50" t="s">
        <v>275</v>
      </c>
      <c r="C102" s="50" t="s">
        <v>277</v>
      </c>
      <c r="D102" s="51">
        <v>0</v>
      </c>
      <c r="E102" s="53">
        <v>45932</v>
      </c>
    </row>
    <row r="103" spans="1:5">
      <c r="A103" s="51">
        <v>102</v>
      </c>
      <c r="B103" s="50" t="s">
        <v>275</v>
      </c>
      <c r="C103" s="51" t="s">
        <v>278</v>
      </c>
      <c r="D103" s="51">
        <v>0</v>
      </c>
      <c r="E103" s="53">
        <v>45933</v>
      </c>
    </row>
    <row r="104" spans="1:5">
      <c r="A104" s="51">
        <v>103</v>
      </c>
      <c r="B104" s="50" t="s">
        <v>275</v>
      </c>
      <c r="C104" s="51" t="s">
        <v>279</v>
      </c>
      <c r="D104" s="51">
        <v>16000</v>
      </c>
      <c r="E104" s="53">
        <v>45934</v>
      </c>
    </row>
    <row r="105" spans="1:5">
      <c r="A105" s="51">
        <v>104</v>
      </c>
      <c r="B105" s="50" t="s">
        <v>280</v>
      </c>
      <c r="C105" s="51" t="s">
        <v>281</v>
      </c>
      <c r="D105" s="51">
        <v>0</v>
      </c>
      <c r="E105" s="53">
        <v>45935</v>
      </c>
    </row>
    <row r="106" spans="1:5">
      <c r="A106" s="51">
        <v>105</v>
      </c>
      <c r="B106" s="50" t="s">
        <v>280</v>
      </c>
      <c r="C106" s="50" t="s">
        <v>282</v>
      </c>
      <c r="D106" s="51">
        <v>1200</v>
      </c>
      <c r="E106" s="53">
        <v>45936</v>
      </c>
    </row>
    <row r="107" spans="1:5">
      <c r="A107" s="51">
        <v>106</v>
      </c>
      <c r="B107" s="50" t="s">
        <v>280</v>
      </c>
      <c r="C107" s="50" t="s">
        <v>283</v>
      </c>
      <c r="D107" s="51">
        <v>2000</v>
      </c>
      <c r="E107" s="53">
        <v>45937</v>
      </c>
    </row>
    <row r="108" spans="1:5">
      <c r="A108" s="51">
        <v>107</v>
      </c>
      <c r="B108" s="50" t="s">
        <v>280</v>
      </c>
      <c r="C108" s="50" t="s">
        <v>284</v>
      </c>
      <c r="D108" s="51">
        <v>1000</v>
      </c>
      <c r="E108" s="53">
        <v>45938</v>
      </c>
    </row>
    <row r="109" spans="1:5">
      <c r="A109" s="51">
        <v>108</v>
      </c>
      <c r="B109" s="50" t="s">
        <v>280</v>
      </c>
      <c r="C109" s="50" t="s">
        <v>285</v>
      </c>
      <c r="D109" s="51">
        <v>1000</v>
      </c>
      <c r="E109" s="53">
        <v>45939</v>
      </c>
    </row>
    <row r="110" spans="1:5">
      <c r="A110" s="51">
        <v>109</v>
      </c>
      <c r="B110" s="50" t="s">
        <v>280</v>
      </c>
      <c r="C110" s="51" t="s">
        <v>286</v>
      </c>
      <c r="D110" s="51">
        <v>14000</v>
      </c>
      <c r="E110" s="53">
        <v>45940</v>
      </c>
    </row>
    <row r="111" spans="1:5">
      <c r="A111" s="51">
        <v>110</v>
      </c>
      <c r="B111" s="50" t="s">
        <v>280</v>
      </c>
      <c r="C111" s="51" t="s">
        <v>287</v>
      </c>
      <c r="D111" s="51">
        <v>800</v>
      </c>
      <c r="E111" s="53">
        <v>45941</v>
      </c>
    </row>
    <row r="112" spans="1:5">
      <c r="A112" s="51">
        <v>111</v>
      </c>
      <c r="B112" s="50" t="s">
        <v>275</v>
      </c>
      <c r="C112" s="50" t="s">
        <v>276</v>
      </c>
      <c r="D112" s="51">
        <v>25000</v>
      </c>
      <c r="E112" s="53">
        <v>45962</v>
      </c>
    </row>
    <row r="113" spans="1:5">
      <c r="A113" s="51">
        <v>112</v>
      </c>
      <c r="B113" s="50" t="s">
        <v>275</v>
      </c>
      <c r="C113" s="50" t="s">
        <v>277</v>
      </c>
      <c r="D113" s="51">
        <v>0</v>
      </c>
      <c r="E113" s="53">
        <v>45963</v>
      </c>
    </row>
    <row r="114" spans="1:5">
      <c r="A114" s="51">
        <v>113</v>
      </c>
      <c r="B114" s="50" t="s">
        <v>275</v>
      </c>
      <c r="C114" s="51" t="s">
        <v>278</v>
      </c>
      <c r="D114" s="51">
        <v>0</v>
      </c>
      <c r="E114" s="53">
        <v>45964</v>
      </c>
    </row>
    <row r="115" spans="1:5">
      <c r="A115" s="51">
        <v>114</v>
      </c>
      <c r="B115" s="50" t="s">
        <v>275</v>
      </c>
      <c r="C115" s="51" t="s">
        <v>279</v>
      </c>
      <c r="D115" s="51">
        <v>14000</v>
      </c>
      <c r="E115" s="53">
        <v>45965</v>
      </c>
    </row>
    <row r="116" spans="1:5">
      <c r="A116" s="51">
        <v>115</v>
      </c>
      <c r="B116" s="50" t="s">
        <v>280</v>
      </c>
      <c r="C116" s="51" t="s">
        <v>281</v>
      </c>
      <c r="D116" s="51">
        <v>0</v>
      </c>
      <c r="E116" s="53">
        <v>45966</v>
      </c>
    </row>
    <row r="117" spans="1:5">
      <c r="A117" s="51">
        <v>116</v>
      </c>
      <c r="B117" s="50" t="s">
        <v>280</v>
      </c>
      <c r="C117" s="50" t="s">
        <v>282</v>
      </c>
      <c r="D117" s="51">
        <v>1200</v>
      </c>
      <c r="E117" s="53">
        <v>45967</v>
      </c>
    </row>
    <row r="118" spans="1:5">
      <c r="A118" s="51">
        <v>117</v>
      </c>
      <c r="B118" s="50" t="s">
        <v>280</v>
      </c>
      <c r="C118" s="50" t="s">
        <v>283</v>
      </c>
      <c r="D118" s="51">
        <v>2200</v>
      </c>
      <c r="E118" s="53">
        <v>45968</v>
      </c>
    </row>
    <row r="119" spans="1:5">
      <c r="A119" s="51">
        <v>118</v>
      </c>
      <c r="B119" s="50" t="s">
        <v>280</v>
      </c>
      <c r="C119" s="50" t="s">
        <v>284</v>
      </c>
      <c r="D119" s="51">
        <v>1300</v>
      </c>
      <c r="E119" s="53">
        <v>45969</v>
      </c>
    </row>
    <row r="120" spans="1:5">
      <c r="A120" s="51">
        <v>119</v>
      </c>
      <c r="B120" s="50" t="s">
        <v>280</v>
      </c>
      <c r="C120" s="50" t="s">
        <v>285</v>
      </c>
      <c r="D120" s="51">
        <v>1000</v>
      </c>
      <c r="E120" s="53">
        <v>45970</v>
      </c>
    </row>
    <row r="121" spans="1:5">
      <c r="A121" s="51">
        <v>120</v>
      </c>
      <c r="B121" s="50" t="s">
        <v>280</v>
      </c>
      <c r="C121" s="51" t="s">
        <v>286</v>
      </c>
      <c r="D121" s="51">
        <v>14000</v>
      </c>
      <c r="E121" s="53">
        <v>45971</v>
      </c>
    </row>
    <row r="122" spans="1:5">
      <c r="A122" s="51">
        <v>121</v>
      </c>
      <c r="B122" s="50" t="s">
        <v>280</v>
      </c>
      <c r="C122" s="51" t="s">
        <v>287</v>
      </c>
      <c r="D122" s="51">
        <v>400</v>
      </c>
      <c r="E122" s="53">
        <v>45972</v>
      </c>
    </row>
    <row r="123" spans="1:5">
      <c r="A123" s="51">
        <v>122</v>
      </c>
      <c r="B123" s="50" t="s">
        <v>275</v>
      </c>
      <c r="C123" s="50" t="s">
        <v>276</v>
      </c>
      <c r="D123" s="51">
        <v>18000</v>
      </c>
      <c r="E123" s="53">
        <v>45992</v>
      </c>
    </row>
    <row r="124" spans="1:5">
      <c r="A124" s="51">
        <v>123</v>
      </c>
      <c r="B124" s="50" t="s">
        <v>275</v>
      </c>
      <c r="C124" s="50" t="s">
        <v>277</v>
      </c>
      <c r="D124" s="51">
        <v>5000</v>
      </c>
      <c r="E124" s="53">
        <v>45993</v>
      </c>
    </row>
    <row r="125" spans="1:5">
      <c r="A125" s="51">
        <v>124</v>
      </c>
      <c r="B125" s="50" t="s">
        <v>275</v>
      </c>
      <c r="C125" s="51" t="s">
        <v>278</v>
      </c>
      <c r="D125" s="51">
        <v>0</v>
      </c>
      <c r="E125" s="53">
        <v>45994</v>
      </c>
    </row>
    <row r="126" spans="1:5">
      <c r="A126" s="51">
        <v>125</v>
      </c>
      <c r="B126" s="50" t="s">
        <v>275</v>
      </c>
      <c r="C126" s="51" t="s">
        <v>279</v>
      </c>
      <c r="D126" s="51">
        <v>12000</v>
      </c>
      <c r="E126" s="53">
        <v>45995</v>
      </c>
    </row>
    <row r="127" spans="1:5">
      <c r="A127" s="51">
        <v>126</v>
      </c>
      <c r="B127" s="50" t="s">
        <v>280</v>
      </c>
      <c r="C127" s="51" t="s">
        <v>281</v>
      </c>
      <c r="D127" s="51">
        <v>0</v>
      </c>
      <c r="E127" s="53">
        <v>45996</v>
      </c>
    </row>
    <row r="128" spans="1:5">
      <c r="A128" s="51">
        <v>127</v>
      </c>
      <c r="B128" s="50" t="s">
        <v>280</v>
      </c>
      <c r="C128" s="50" t="s">
        <v>282</v>
      </c>
      <c r="D128" s="51">
        <v>1200</v>
      </c>
      <c r="E128" s="53">
        <v>45997</v>
      </c>
    </row>
    <row r="129" spans="1:5">
      <c r="A129" s="51">
        <v>128</v>
      </c>
      <c r="B129" s="50" t="s">
        <v>280</v>
      </c>
      <c r="C129" s="50" t="s">
        <v>283</v>
      </c>
      <c r="D129" s="51">
        <v>1300</v>
      </c>
      <c r="E129" s="53">
        <v>45998</v>
      </c>
    </row>
    <row r="130" spans="1:5">
      <c r="A130" s="51">
        <v>129</v>
      </c>
      <c r="B130" s="50" t="s">
        <v>280</v>
      </c>
      <c r="C130" s="50" t="s">
        <v>284</v>
      </c>
      <c r="D130" s="51">
        <v>1000</v>
      </c>
      <c r="E130" s="53">
        <v>45999</v>
      </c>
    </row>
    <row r="131" spans="1:5">
      <c r="A131" s="51">
        <v>130</v>
      </c>
      <c r="B131" s="50" t="s">
        <v>280</v>
      </c>
      <c r="C131" s="50" t="s">
        <v>285</v>
      </c>
      <c r="D131" s="51">
        <v>1000</v>
      </c>
      <c r="E131" s="53">
        <v>46000</v>
      </c>
    </row>
    <row r="132" spans="1:5">
      <c r="A132" s="51">
        <v>131</v>
      </c>
      <c r="B132" s="50" t="s">
        <v>280</v>
      </c>
      <c r="C132" s="51" t="s">
        <v>286</v>
      </c>
      <c r="D132" s="51">
        <v>14000</v>
      </c>
      <c r="E132" s="53">
        <v>46001</v>
      </c>
    </row>
    <row r="133" spans="1:5">
      <c r="A133" s="51">
        <v>132</v>
      </c>
      <c r="B133" s="50" t="s">
        <v>280</v>
      </c>
      <c r="C133" s="51" t="s">
        <v>287</v>
      </c>
      <c r="D133" s="51">
        <v>500</v>
      </c>
      <c r="E133" s="53">
        <v>46002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2BF23-1B95-46C7-BD63-F4BF04947BFB}">
  <dimension ref="A1:H133"/>
  <sheetViews>
    <sheetView workbookViewId="0">
      <selection activeCell="G3" sqref="G3"/>
    </sheetView>
  </sheetViews>
  <sheetFormatPr defaultRowHeight="15"/>
  <cols>
    <col min="7" max="7" width="20" bestFit="1" customWidth="1"/>
    <col min="8" max="8" width="14.85546875" bestFit="1" customWidth="1"/>
  </cols>
  <sheetData>
    <row r="1" spans="1:8">
      <c r="A1" s="51" t="s">
        <v>21</v>
      </c>
      <c r="B1" s="51" t="s">
        <v>272</v>
      </c>
      <c r="C1" s="51" t="s">
        <v>273</v>
      </c>
      <c r="D1" s="51" t="s">
        <v>112</v>
      </c>
      <c r="E1" s="52" t="s">
        <v>274</v>
      </c>
    </row>
    <row r="2" spans="1:8">
      <c r="A2" s="51">
        <v>1</v>
      </c>
      <c r="B2" s="50" t="s">
        <v>275</v>
      </c>
      <c r="C2" s="50" t="s">
        <v>276</v>
      </c>
      <c r="D2" s="51">
        <v>22000</v>
      </c>
      <c r="E2" s="53">
        <v>45658</v>
      </c>
      <c r="G2" s="42" t="s">
        <v>268</v>
      </c>
      <c r="H2" t="s">
        <v>288</v>
      </c>
    </row>
    <row r="3" spans="1:8">
      <c r="A3" s="51">
        <v>2</v>
      </c>
      <c r="B3" s="50" t="s">
        <v>275</v>
      </c>
      <c r="C3" s="50" t="s">
        <v>277</v>
      </c>
      <c r="D3" s="51">
        <v>5000</v>
      </c>
      <c r="E3" s="53">
        <v>45659</v>
      </c>
      <c r="G3" s="43" t="s">
        <v>275</v>
      </c>
      <c r="H3" s="44">
        <v>444200</v>
      </c>
    </row>
    <row r="4" spans="1:8">
      <c r="A4" s="51">
        <v>3</v>
      </c>
      <c r="B4" s="50" t="s">
        <v>275</v>
      </c>
      <c r="C4" s="51" t="s">
        <v>278</v>
      </c>
      <c r="D4" s="51">
        <v>6000</v>
      </c>
      <c r="E4" s="53">
        <v>45660</v>
      </c>
      <c r="G4" s="45" t="s">
        <v>276</v>
      </c>
      <c r="H4" s="44">
        <v>234200</v>
      </c>
    </row>
    <row r="5" spans="1:8">
      <c r="A5" s="51">
        <v>4</v>
      </c>
      <c r="B5" s="50" t="s">
        <v>275</v>
      </c>
      <c r="C5" s="51" t="s">
        <v>279</v>
      </c>
      <c r="D5" s="51">
        <v>15000</v>
      </c>
      <c r="E5" s="53">
        <v>45661</v>
      </c>
      <c r="G5" s="45" t="s">
        <v>277</v>
      </c>
      <c r="H5" s="44">
        <v>13000</v>
      </c>
    </row>
    <row r="6" spans="1:8">
      <c r="A6" s="51">
        <v>5</v>
      </c>
      <c r="B6" s="50" t="s">
        <v>280</v>
      </c>
      <c r="C6" s="51" t="s">
        <v>281</v>
      </c>
      <c r="D6" s="51">
        <v>200</v>
      </c>
      <c r="E6" s="53">
        <v>45662</v>
      </c>
      <c r="G6" s="45" t="s">
        <v>279</v>
      </c>
      <c r="H6" s="44">
        <v>183000</v>
      </c>
    </row>
    <row r="7" spans="1:8">
      <c r="A7" s="51">
        <v>6</v>
      </c>
      <c r="B7" s="50" t="s">
        <v>280</v>
      </c>
      <c r="C7" s="50" t="s">
        <v>282</v>
      </c>
      <c r="D7" s="51">
        <v>1500</v>
      </c>
      <c r="E7" s="53">
        <v>45663</v>
      </c>
      <c r="G7" s="45" t="s">
        <v>278</v>
      </c>
      <c r="H7" s="44">
        <v>14000</v>
      </c>
    </row>
    <row r="8" spans="1:8">
      <c r="A8" s="51">
        <v>7</v>
      </c>
      <c r="B8" s="50" t="s">
        <v>280</v>
      </c>
      <c r="C8" s="50" t="s">
        <v>283</v>
      </c>
      <c r="D8" s="51">
        <v>1800</v>
      </c>
      <c r="E8" s="53">
        <v>45664</v>
      </c>
      <c r="G8" s="43" t="s">
        <v>269</v>
      </c>
      <c r="H8" s="44">
        <v>444200</v>
      </c>
    </row>
    <row r="9" spans="1:8">
      <c r="A9" s="51">
        <v>8</v>
      </c>
      <c r="B9" s="50" t="s">
        <v>280</v>
      </c>
      <c r="C9" s="50" t="s">
        <v>284</v>
      </c>
      <c r="D9" s="51">
        <v>800</v>
      </c>
      <c r="E9" s="53">
        <v>45665</v>
      </c>
    </row>
    <row r="10" spans="1:8">
      <c r="A10" s="51">
        <v>9</v>
      </c>
      <c r="B10" s="50" t="s">
        <v>280</v>
      </c>
      <c r="C10" s="50" t="s">
        <v>285</v>
      </c>
      <c r="D10" s="51">
        <v>1000</v>
      </c>
      <c r="E10" s="53">
        <v>45666</v>
      </c>
    </row>
    <row r="11" spans="1:8">
      <c r="A11" s="51">
        <v>10</v>
      </c>
      <c r="B11" s="50" t="s">
        <v>280</v>
      </c>
      <c r="C11" s="51" t="s">
        <v>286</v>
      </c>
      <c r="D11" s="51">
        <v>14000</v>
      </c>
      <c r="E11" s="53">
        <v>45667</v>
      </c>
    </row>
    <row r="12" spans="1:8">
      <c r="A12" s="51">
        <v>11</v>
      </c>
      <c r="B12" s="50" t="s">
        <v>280</v>
      </c>
      <c r="C12" s="51" t="s">
        <v>287</v>
      </c>
      <c r="D12" s="51">
        <v>300</v>
      </c>
      <c r="E12" s="53">
        <v>45668</v>
      </c>
    </row>
    <row r="13" spans="1:8">
      <c r="A13" s="51">
        <v>12</v>
      </c>
      <c r="B13" s="50" t="s">
        <v>275</v>
      </c>
      <c r="C13" s="50" t="s">
        <v>276</v>
      </c>
      <c r="D13" s="51">
        <v>18000</v>
      </c>
      <c r="E13" s="53">
        <v>45689</v>
      </c>
    </row>
    <row r="14" spans="1:8">
      <c r="A14" s="51">
        <v>13</v>
      </c>
      <c r="B14" s="50" t="s">
        <v>275</v>
      </c>
      <c r="C14" s="50" t="s">
        <v>277</v>
      </c>
      <c r="D14" s="51">
        <v>0</v>
      </c>
      <c r="E14" s="53">
        <v>45690</v>
      </c>
    </row>
    <row r="15" spans="1:8">
      <c r="A15" s="51">
        <v>14</v>
      </c>
      <c r="B15" s="50" t="s">
        <v>275</v>
      </c>
      <c r="C15" s="51" t="s">
        <v>278</v>
      </c>
      <c r="D15" s="51">
        <v>0</v>
      </c>
      <c r="E15" s="53">
        <v>45691</v>
      </c>
    </row>
    <row r="16" spans="1:8">
      <c r="A16" s="51">
        <v>15</v>
      </c>
      <c r="B16" s="50" t="s">
        <v>275</v>
      </c>
      <c r="C16" s="51" t="s">
        <v>279</v>
      </c>
      <c r="D16" s="51">
        <v>13000</v>
      </c>
      <c r="E16" s="53">
        <v>45692</v>
      </c>
    </row>
    <row r="17" spans="1:5">
      <c r="A17" s="51">
        <v>16</v>
      </c>
      <c r="B17" s="50" t="s">
        <v>280</v>
      </c>
      <c r="C17" s="51" t="s">
        <v>281</v>
      </c>
      <c r="D17" s="51">
        <v>0</v>
      </c>
      <c r="E17" s="53">
        <v>45693</v>
      </c>
    </row>
    <row r="18" spans="1:5">
      <c r="A18" s="51">
        <v>17</v>
      </c>
      <c r="B18" s="50" t="s">
        <v>280</v>
      </c>
      <c r="C18" s="50" t="s">
        <v>282</v>
      </c>
      <c r="D18" s="51">
        <v>1200</v>
      </c>
      <c r="E18" s="53">
        <v>45694</v>
      </c>
    </row>
    <row r="19" spans="1:5">
      <c r="A19" s="51">
        <v>18</v>
      </c>
      <c r="B19" s="50" t="s">
        <v>280</v>
      </c>
      <c r="C19" s="50" t="s">
        <v>283</v>
      </c>
      <c r="D19" s="51">
        <v>1600</v>
      </c>
      <c r="E19" s="53">
        <v>45695</v>
      </c>
    </row>
    <row r="20" spans="1:5">
      <c r="A20" s="51">
        <v>19</v>
      </c>
      <c r="B20" s="50" t="s">
        <v>280</v>
      </c>
      <c r="C20" s="50" t="s">
        <v>284</v>
      </c>
      <c r="D20" s="51">
        <v>1000</v>
      </c>
      <c r="E20" s="53">
        <v>45696</v>
      </c>
    </row>
    <row r="21" spans="1:5">
      <c r="A21" s="51">
        <v>20</v>
      </c>
      <c r="B21" s="50" t="s">
        <v>280</v>
      </c>
      <c r="C21" s="50" t="s">
        <v>285</v>
      </c>
      <c r="D21" s="51">
        <v>1000</v>
      </c>
      <c r="E21" s="53">
        <v>45697</v>
      </c>
    </row>
    <row r="22" spans="1:5">
      <c r="A22" s="51">
        <v>21</v>
      </c>
      <c r="B22" s="50" t="s">
        <v>280</v>
      </c>
      <c r="C22" s="51" t="s">
        <v>286</v>
      </c>
      <c r="D22" s="51">
        <v>14000</v>
      </c>
      <c r="E22" s="53">
        <v>45698</v>
      </c>
    </row>
    <row r="23" spans="1:5">
      <c r="A23" s="51">
        <v>22</v>
      </c>
      <c r="B23" s="50" t="s">
        <v>280</v>
      </c>
      <c r="C23" s="51" t="s">
        <v>287</v>
      </c>
      <c r="D23" s="51">
        <v>100</v>
      </c>
      <c r="E23" s="53">
        <v>45699</v>
      </c>
    </row>
    <row r="24" spans="1:5">
      <c r="A24" s="51">
        <v>23</v>
      </c>
      <c r="B24" s="50" t="s">
        <v>275</v>
      </c>
      <c r="C24" s="50" t="s">
        <v>276</v>
      </c>
      <c r="D24" s="51">
        <v>15000</v>
      </c>
      <c r="E24" s="53">
        <v>45717</v>
      </c>
    </row>
    <row r="25" spans="1:5">
      <c r="A25" s="51">
        <v>24</v>
      </c>
      <c r="B25" s="50" t="s">
        <v>275</v>
      </c>
      <c r="C25" s="50" t="s">
        <v>277</v>
      </c>
      <c r="D25" s="51">
        <v>0</v>
      </c>
      <c r="E25" s="53">
        <v>45718</v>
      </c>
    </row>
    <row r="26" spans="1:5">
      <c r="A26" s="51">
        <v>25</v>
      </c>
      <c r="B26" s="50" t="s">
        <v>275</v>
      </c>
      <c r="C26" s="51" t="s">
        <v>278</v>
      </c>
      <c r="D26" s="51">
        <v>8000</v>
      </c>
      <c r="E26" s="53">
        <v>45719</v>
      </c>
    </row>
    <row r="27" spans="1:5">
      <c r="A27" s="51">
        <v>26</v>
      </c>
      <c r="B27" s="50" t="s">
        <v>275</v>
      </c>
      <c r="C27" s="51" t="s">
        <v>279</v>
      </c>
      <c r="D27" s="51">
        <v>14000</v>
      </c>
      <c r="E27" s="53">
        <v>45720</v>
      </c>
    </row>
    <row r="28" spans="1:5">
      <c r="A28" s="51">
        <v>27</v>
      </c>
      <c r="B28" s="50" t="s">
        <v>280</v>
      </c>
      <c r="C28" s="51" t="s">
        <v>281</v>
      </c>
      <c r="D28" s="51">
        <v>0</v>
      </c>
      <c r="E28" s="53">
        <v>45721</v>
      </c>
    </row>
    <row r="29" spans="1:5">
      <c r="A29" s="51">
        <v>28</v>
      </c>
      <c r="B29" s="50" t="s">
        <v>280</v>
      </c>
      <c r="C29" s="50" t="s">
        <v>282</v>
      </c>
      <c r="D29" s="51">
        <v>1200</v>
      </c>
      <c r="E29" s="53">
        <v>45722</v>
      </c>
    </row>
    <row r="30" spans="1:5">
      <c r="A30" s="51">
        <v>29</v>
      </c>
      <c r="B30" s="50" t="s">
        <v>280</v>
      </c>
      <c r="C30" s="50" t="s">
        <v>283</v>
      </c>
      <c r="D30" s="51">
        <v>2200</v>
      </c>
      <c r="E30" s="53">
        <v>45723</v>
      </c>
    </row>
    <row r="31" spans="1:5">
      <c r="A31" s="51">
        <v>30</v>
      </c>
      <c r="B31" s="50" t="s">
        <v>280</v>
      </c>
      <c r="C31" s="50" t="s">
        <v>284</v>
      </c>
      <c r="D31" s="51">
        <v>1000</v>
      </c>
      <c r="E31" s="53">
        <v>45724</v>
      </c>
    </row>
    <row r="32" spans="1:5">
      <c r="A32" s="51">
        <v>31</v>
      </c>
      <c r="B32" s="50" t="s">
        <v>280</v>
      </c>
      <c r="C32" s="50" t="s">
        <v>285</v>
      </c>
      <c r="D32" s="51">
        <v>1000</v>
      </c>
      <c r="E32" s="53">
        <v>45725</v>
      </c>
    </row>
    <row r="33" spans="1:5">
      <c r="A33" s="51">
        <v>32</v>
      </c>
      <c r="B33" s="50" t="s">
        <v>280</v>
      </c>
      <c r="C33" s="51" t="s">
        <v>286</v>
      </c>
      <c r="D33" s="51">
        <v>14000</v>
      </c>
      <c r="E33" s="53">
        <v>45726</v>
      </c>
    </row>
    <row r="34" spans="1:5">
      <c r="A34" s="51">
        <v>33</v>
      </c>
      <c r="B34" s="50" t="s">
        <v>280</v>
      </c>
      <c r="C34" s="51" t="s">
        <v>287</v>
      </c>
      <c r="D34" s="51">
        <v>100</v>
      </c>
      <c r="E34" s="53">
        <v>45727</v>
      </c>
    </row>
    <row r="35" spans="1:5">
      <c r="A35" s="51">
        <v>34</v>
      </c>
      <c r="B35" s="50" t="s">
        <v>275</v>
      </c>
      <c r="C35" s="50" t="s">
        <v>276</v>
      </c>
      <c r="D35" s="51">
        <v>25200</v>
      </c>
      <c r="E35" s="53">
        <v>45748</v>
      </c>
    </row>
    <row r="36" spans="1:5">
      <c r="A36" s="51">
        <v>35</v>
      </c>
      <c r="B36" s="50" t="s">
        <v>275</v>
      </c>
      <c r="C36" s="50" t="s">
        <v>277</v>
      </c>
      <c r="D36" s="51">
        <v>3000</v>
      </c>
      <c r="E36" s="53">
        <v>45749</v>
      </c>
    </row>
    <row r="37" spans="1:5">
      <c r="A37" s="51">
        <v>36</v>
      </c>
      <c r="B37" s="50" t="s">
        <v>275</v>
      </c>
      <c r="C37" s="51" t="s">
        <v>278</v>
      </c>
      <c r="D37" s="51">
        <v>0</v>
      </c>
      <c r="E37" s="53">
        <v>45750</v>
      </c>
    </row>
    <row r="38" spans="1:5">
      <c r="A38" s="51">
        <v>37</v>
      </c>
      <c r="B38" s="50" t="s">
        <v>275</v>
      </c>
      <c r="C38" s="51" t="s">
        <v>279</v>
      </c>
      <c r="D38" s="51">
        <v>16000</v>
      </c>
      <c r="E38" s="53">
        <v>45751</v>
      </c>
    </row>
    <row r="39" spans="1:5">
      <c r="A39" s="51">
        <v>38</v>
      </c>
      <c r="B39" s="50" t="s">
        <v>280</v>
      </c>
      <c r="C39" s="51" t="s">
        <v>281</v>
      </c>
      <c r="D39" s="51">
        <v>0</v>
      </c>
      <c r="E39" s="53">
        <v>45752</v>
      </c>
    </row>
    <row r="40" spans="1:5">
      <c r="A40" s="51">
        <v>39</v>
      </c>
      <c r="B40" s="50" t="s">
        <v>280</v>
      </c>
      <c r="C40" s="50" t="s">
        <v>282</v>
      </c>
      <c r="D40" s="51">
        <v>2000</v>
      </c>
      <c r="E40" s="53">
        <v>45753</v>
      </c>
    </row>
    <row r="41" spans="1:5">
      <c r="A41" s="51">
        <v>40</v>
      </c>
      <c r="B41" s="50" t="s">
        <v>280</v>
      </c>
      <c r="C41" s="50" t="s">
        <v>283</v>
      </c>
      <c r="D41" s="51">
        <v>2300</v>
      </c>
      <c r="E41" s="53">
        <v>45754</v>
      </c>
    </row>
    <row r="42" spans="1:5">
      <c r="A42" s="51">
        <v>41</v>
      </c>
      <c r="B42" s="50" t="s">
        <v>280</v>
      </c>
      <c r="C42" s="50" t="s">
        <v>284</v>
      </c>
      <c r="D42" s="51">
        <v>1600</v>
      </c>
      <c r="E42" s="53">
        <v>45755</v>
      </c>
    </row>
    <row r="43" spans="1:5">
      <c r="A43" s="51">
        <v>42</v>
      </c>
      <c r="B43" s="50" t="s">
        <v>280</v>
      </c>
      <c r="C43" s="50" t="s">
        <v>285</v>
      </c>
      <c r="D43" s="51">
        <v>1000</v>
      </c>
      <c r="E43" s="53">
        <v>45756</v>
      </c>
    </row>
    <row r="44" spans="1:5">
      <c r="A44" s="51">
        <v>43</v>
      </c>
      <c r="B44" s="50" t="s">
        <v>280</v>
      </c>
      <c r="C44" s="51" t="s">
        <v>286</v>
      </c>
      <c r="D44" s="51">
        <v>14000</v>
      </c>
      <c r="E44" s="53">
        <v>45757</v>
      </c>
    </row>
    <row r="45" spans="1:5">
      <c r="A45" s="51">
        <v>44</v>
      </c>
      <c r="B45" s="50" t="s">
        <v>280</v>
      </c>
      <c r="C45" s="51" t="s">
        <v>287</v>
      </c>
      <c r="D45" s="51">
        <v>100</v>
      </c>
      <c r="E45" s="53">
        <v>45758</v>
      </c>
    </row>
    <row r="46" spans="1:5">
      <c r="A46" s="51">
        <v>45</v>
      </c>
      <c r="B46" s="50" t="s">
        <v>275</v>
      </c>
      <c r="C46" s="50" t="s">
        <v>276</v>
      </c>
      <c r="D46" s="51">
        <v>17000</v>
      </c>
      <c r="E46" s="53">
        <v>45778</v>
      </c>
    </row>
    <row r="47" spans="1:5">
      <c r="A47" s="51">
        <v>46</v>
      </c>
      <c r="B47" s="50" t="s">
        <v>275</v>
      </c>
      <c r="C47" s="50" t="s">
        <v>277</v>
      </c>
      <c r="D47" s="51">
        <v>0</v>
      </c>
      <c r="E47" s="53">
        <v>45779</v>
      </c>
    </row>
    <row r="48" spans="1:5">
      <c r="A48" s="51">
        <v>47</v>
      </c>
      <c r="B48" s="50" t="s">
        <v>275</v>
      </c>
      <c r="C48" s="51" t="s">
        <v>278</v>
      </c>
      <c r="D48" s="51">
        <v>0</v>
      </c>
      <c r="E48" s="53">
        <v>45780</v>
      </c>
    </row>
    <row r="49" spans="1:5">
      <c r="A49" s="51">
        <v>48</v>
      </c>
      <c r="B49" s="50" t="s">
        <v>275</v>
      </c>
      <c r="C49" s="51" t="s">
        <v>279</v>
      </c>
      <c r="D49" s="51">
        <v>13000</v>
      </c>
      <c r="E49" s="53">
        <v>45781</v>
      </c>
    </row>
    <row r="50" spans="1:5">
      <c r="A50" s="51">
        <v>49</v>
      </c>
      <c r="B50" s="50" t="s">
        <v>280</v>
      </c>
      <c r="C50" s="51" t="s">
        <v>281</v>
      </c>
      <c r="D50" s="51">
        <v>0</v>
      </c>
      <c r="E50" s="53">
        <v>45782</v>
      </c>
    </row>
    <row r="51" spans="1:5">
      <c r="A51" s="51">
        <v>50</v>
      </c>
      <c r="B51" s="50" t="s">
        <v>280</v>
      </c>
      <c r="C51" s="50" t="s">
        <v>282</v>
      </c>
      <c r="D51" s="51">
        <v>1200</v>
      </c>
      <c r="E51" s="53">
        <v>45783</v>
      </c>
    </row>
    <row r="52" spans="1:5">
      <c r="A52" s="51">
        <v>51</v>
      </c>
      <c r="B52" s="50" t="s">
        <v>280</v>
      </c>
      <c r="C52" s="50" t="s">
        <v>283</v>
      </c>
      <c r="D52" s="51">
        <v>2000</v>
      </c>
      <c r="E52" s="53">
        <v>45784</v>
      </c>
    </row>
    <row r="53" spans="1:5">
      <c r="A53" s="51">
        <v>52</v>
      </c>
      <c r="B53" s="50" t="s">
        <v>280</v>
      </c>
      <c r="C53" s="50" t="s">
        <v>284</v>
      </c>
      <c r="D53" s="51">
        <v>1000</v>
      </c>
      <c r="E53" s="53">
        <v>45785</v>
      </c>
    </row>
    <row r="54" spans="1:5">
      <c r="A54" s="51">
        <v>53</v>
      </c>
      <c r="B54" s="50" t="s">
        <v>280</v>
      </c>
      <c r="C54" s="50" t="s">
        <v>285</v>
      </c>
      <c r="D54" s="51">
        <v>1000</v>
      </c>
      <c r="E54" s="53">
        <v>45786</v>
      </c>
    </row>
    <row r="55" spans="1:5">
      <c r="A55" s="51">
        <v>54</v>
      </c>
      <c r="B55" s="50" t="s">
        <v>280</v>
      </c>
      <c r="C55" s="51" t="s">
        <v>286</v>
      </c>
      <c r="D55" s="51">
        <v>14000</v>
      </c>
      <c r="E55" s="53">
        <v>45787</v>
      </c>
    </row>
    <row r="56" spans="1:5">
      <c r="A56" s="51">
        <v>55</v>
      </c>
      <c r="B56" s="50" t="s">
        <v>280</v>
      </c>
      <c r="C56" s="51" t="s">
        <v>287</v>
      </c>
      <c r="D56" s="51">
        <v>100</v>
      </c>
      <c r="E56" s="53">
        <v>45788</v>
      </c>
    </row>
    <row r="57" spans="1:5">
      <c r="A57" s="51">
        <v>56</v>
      </c>
      <c r="B57" s="50" t="s">
        <v>275</v>
      </c>
      <c r="C57" s="50" t="s">
        <v>276</v>
      </c>
      <c r="D57" s="51">
        <v>3000</v>
      </c>
      <c r="E57" s="53">
        <v>45809</v>
      </c>
    </row>
    <row r="58" spans="1:5">
      <c r="A58" s="51">
        <v>57</v>
      </c>
      <c r="B58" s="50" t="s">
        <v>275</v>
      </c>
      <c r="C58" s="50" t="s">
        <v>277</v>
      </c>
      <c r="D58" s="51">
        <v>0</v>
      </c>
      <c r="E58" s="53">
        <v>45810</v>
      </c>
    </row>
    <row r="59" spans="1:5">
      <c r="A59" s="51">
        <v>58</v>
      </c>
      <c r="B59" s="50" t="s">
        <v>275</v>
      </c>
      <c r="C59" s="51" t="s">
        <v>278</v>
      </c>
      <c r="D59" s="51">
        <v>0</v>
      </c>
      <c r="E59" s="53">
        <v>45811</v>
      </c>
    </row>
    <row r="60" spans="1:5">
      <c r="A60" s="51">
        <v>59</v>
      </c>
      <c r="B60" s="50" t="s">
        <v>275</v>
      </c>
      <c r="C60" s="51" t="s">
        <v>279</v>
      </c>
      <c r="D60" s="51">
        <v>10000</v>
      </c>
      <c r="E60" s="53">
        <v>45812</v>
      </c>
    </row>
    <row r="61" spans="1:5">
      <c r="A61" s="51">
        <v>60</v>
      </c>
      <c r="B61" s="50" t="s">
        <v>280</v>
      </c>
      <c r="C61" s="51" t="s">
        <v>281</v>
      </c>
      <c r="D61" s="51">
        <v>0</v>
      </c>
      <c r="E61" s="53">
        <v>45813</v>
      </c>
    </row>
    <row r="62" spans="1:5">
      <c r="A62" s="51">
        <v>61</v>
      </c>
      <c r="B62" s="50" t="s">
        <v>280</v>
      </c>
      <c r="C62" s="50" t="s">
        <v>282</v>
      </c>
      <c r="D62" s="51">
        <v>1200</v>
      </c>
      <c r="E62" s="53">
        <v>45814</v>
      </c>
    </row>
    <row r="63" spans="1:5">
      <c r="A63" s="51">
        <v>62</v>
      </c>
      <c r="B63" s="50" t="s">
        <v>280</v>
      </c>
      <c r="C63" s="50" t="s">
        <v>283</v>
      </c>
      <c r="D63" s="51">
        <v>2000</v>
      </c>
      <c r="E63" s="53">
        <v>45815</v>
      </c>
    </row>
    <row r="64" spans="1:5">
      <c r="A64" s="51">
        <v>63</v>
      </c>
      <c r="B64" s="50" t="s">
        <v>280</v>
      </c>
      <c r="C64" s="50" t="s">
        <v>284</v>
      </c>
      <c r="D64" s="51">
        <v>1000</v>
      </c>
      <c r="E64" s="53">
        <v>45816</v>
      </c>
    </row>
    <row r="65" spans="1:5">
      <c r="A65" s="51">
        <v>64</v>
      </c>
      <c r="B65" s="50" t="s">
        <v>280</v>
      </c>
      <c r="C65" s="50" t="s">
        <v>285</v>
      </c>
      <c r="D65" s="51">
        <v>1000</v>
      </c>
      <c r="E65" s="53">
        <v>45817</v>
      </c>
    </row>
    <row r="66" spans="1:5">
      <c r="A66" s="51">
        <v>65</v>
      </c>
      <c r="B66" s="50" t="s">
        <v>280</v>
      </c>
      <c r="C66" s="51" t="s">
        <v>286</v>
      </c>
      <c r="D66" s="51">
        <v>14000</v>
      </c>
      <c r="E66" s="53">
        <v>45818</v>
      </c>
    </row>
    <row r="67" spans="1:5">
      <c r="A67" s="51">
        <v>66</v>
      </c>
      <c r="B67" s="50" t="s">
        <v>280</v>
      </c>
      <c r="C67" s="51" t="s">
        <v>287</v>
      </c>
      <c r="D67" s="51">
        <v>100</v>
      </c>
      <c r="E67" s="53">
        <v>45819</v>
      </c>
    </row>
    <row r="68" spans="1:5">
      <c r="A68" s="51">
        <v>67</v>
      </c>
      <c r="B68" s="50" t="s">
        <v>275</v>
      </c>
      <c r="C68" s="50" t="s">
        <v>276</v>
      </c>
      <c r="D68" s="51">
        <v>18000</v>
      </c>
      <c r="E68" s="53">
        <v>45839</v>
      </c>
    </row>
    <row r="69" spans="1:5">
      <c r="A69" s="51">
        <v>68</v>
      </c>
      <c r="B69" s="50" t="s">
        <v>275</v>
      </c>
      <c r="C69" s="50" t="s">
        <v>277</v>
      </c>
      <c r="D69" s="51">
        <v>0</v>
      </c>
      <c r="E69" s="53">
        <v>45840</v>
      </c>
    </row>
    <row r="70" spans="1:5">
      <c r="A70" s="51">
        <v>69</v>
      </c>
      <c r="B70" s="50" t="s">
        <v>275</v>
      </c>
      <c r="C70" s="51" t="s">
        <v>278</v>
      </c>
      <c r="D70" s="51">
        <v>0</v>
      </c>
      <c r="E70" s="53">
        <v>45841</v>
      </c>
    </row>
    <row r="71" spans="1:5">
      <c r="A71" s="51">
        <v>70</v>
      </c>
      <c r="B71" s="50" t="s">
        <v>275</v>
      </c>
      <c r="C71" s="51" t="s">
        <v>279</v>
      </c>
      <c r="D71" s="51">
        <v>13000</v>
      </c>
      <c r="E71" s="53">
        <v>45842</v>
      </c>
    </row>
    <row r="72" spans="1:5">
      <c r="A72" s="51">
        <v>71</v>
      </c>
      <c r="B72" s="50" t="s">
        <v>280</v>
      </c>
      <c r="C72" s="51" t="s">
        <v>281</v>
      </c>
      <c r="D72" s="51">
        <v>0</v>
      </c>
      <c r="E72" s="53">
        <v>45843</v>
      </c>
    </row>
    <row r="73" spans="1:5">
      <c r="A73" s="51">
        <v>72</v>
      </c>
      <c r="B73" s="50" t="s">
        <v>280</v>
      </c>
      <c r="C73" s="50" t="s">
        <v>282</v>
      </c>
      <c r="D73" s="51">
        <v>1200</v>
      </c>
      <c r="E73" s="53">
        <v>45844</v>
      </c>
    </row>
    <row r="74" spans="1:5">
      <c r="A74" s="51">
        <v>73</v>
      </c>
      <c r="B74" s="50" t="s">
        <v>280</v>
      </c>
      <c r="C74" s="50" t="s">
        <v>283</v>
      </c>
      <c r="D74" s="51">
        <v>2000</v>
      </c>
      <c r="E74" s="53">
        <v>45845</v>
      </c>
    </row>
    <row r="75" spans="1:5">
      <c r="A75" s="51">
        <v>74</v>
      </c>
      <c r="B75" s="50" t="s">
        <v>280</v>
      </c>
      <c r="C75" s="50" t="s">
        <v>284</v>
      </c>
      <c r="D75" s="51">
        <v>1000</v>
      </c>
      <c r="E75" s="53">
        <v>45846</v>
      </c>
    </row>
    <row r="76" spans="1:5">
      <c r="A76" s="51">
        <v>75</v>
      </c>
      <c r="B76" s="50" t="s">
        <v>280</v>
      </c>
      <c r="C76" s="50" t="s">
        <v>285</v>
      </c>
      <c r="D76" s="51">
        <v>1000</v>
      </c>
      <c r="E76" s="53">
        <v>45847</v>
      </c>
    </row>
    <row r="77" spans="1:5">
      <c r="A77" s="51">
        <v>76</v>
      </c>
      <c r="B77" s="50" t="s">
        <v>280</v>
      </c>
      <c r="C77" s="51" t="s">
        <v>286</v>
      </c>
      <c r="D77" s="51">
        <v>14000</v>
      </c>
      <c r="E77" s="53">
        <v>45848</v>
      </c>
    </row>
    <row r="78" spans="1:5">
      <c r="A78" s="51">
        <v>77</v>
      </c>
      <c r="B78" s="50" t="s">
        <v>280</v>
      </c>
      <c r="C78" s="51" t="s">
        <v>287</v>
      </c>
      <c r="D78" s="51">
        <v>100</v>
      </c>
      <c r="E78" s="53">
        <v>45849</v>
      </c>
    </row>
    <row r="79" spans="1:5">
      <c r="A79" s="51">
        <v>78</v>
      </c>
      <c r="B79" s="50" t="s">
        <v>275</v>
      </c>
      <c r="C79" s="50" t="s">
        <v>276</v>
      </c>
      <c r="D79" s="51">
        <v>20000</v>
      </c>
      <c r="E79" s="53">
        <v>45870</v>
      </c>
    </row>
    <row r="80" spans="1:5">
      <c r="A80" s="51">
        <v>79</v>
      </c>
      <c r="B80" s="50" t="s">
        <v>275</v>
      </c>
      <c r="C80" s="50" t="s">
        <v>277</v>
      </c>
      <c r="D80" s="51">
        <v>0</v>
      </c>
      <c r="E80" s="53">
        <v>45871</v>
      </c>
    </row>
    <row r="81" spans="1:5">
      <c r="A81" s="51">
        <v>80</v>
      </c>
      <c r="B81" s="50" t="s">
        <v>275</v>
      </c>
      <c r="C81" s="51" t="s">
        <v>278</v>
      </c>
      <c r="D81" s="51">
        <v>0</v>
      </c>
      <c r="E81" s="53">
        <v>45872</v>
      </c>
    </row>
    <row r="82" spans="1:5">
      <c r="A82" s="51">
        <v>81</v>
      </c>
      <c r="B82" s="50" t="s">
        <v>275</v>
      </c>
      <c r="C82" s="51" t="s">
        <v>279</v>
      </c>
      <c r="D82" s="51">
        <v>15000</v>
      </c>
      <c r="E82" s="53">
        <v>45873</v>
      </c>
    </row>
    <row r="83" spans="1:5">
      <c r="A83" s="51">
        <v>82</v>
      </c>
      <c r="B83" s="50" t="s">
        <v>280</v>
      </c>
      <c r="C83" s="51" t="s">
        <v>281</v>
      </c>
      <c r="D83" s="51">
        <v>0</v>
      </c>
      <c r="E83" s="53">
        <v>45874</v>
      </c>
    </row>
    <row r="84" spans="1:5">
      <c r="A84" s="51">
        <v>83</v>
      </c>
      <c r="B84" s="50" t="s">
        <v>280</v>
      </c>
      <c r="C84" s="50" t="s">
        <v>282</v>
      </c>
      <c r="D84" s="51">
        <v>1200</v>
      </c>
      <c r="E84" s="53">
        <v>45875</v>
      </c>
    </row>
    <row r="85" spans="1:5">
      <c r="A85" s="51">
        <v>84</v>
      </c>
      <c r="B85" s="50" t="s">
        <v>280</v>
      </c>
      <c r="C85" s="50" t="s">
        <v>283</v>
      </c>
      <c r="D85" s="51">
        <v>2000</v>
      </c>
      <c r="E85" s="53">
        <v>45876</v>
      </c>
    </row>
    <row r="86" spans="1:5">
      <c r="A86" s="51">
        <v>85</v>
      </c>
      <c r="B86" s="50" t="s">
        <v>280</v>
      </c>
      <c r="C86" s="50" t="s">
        <v>284</v>
      </c>
      <c r="D86" s="51">
        <v>1000</v>
      </c>
      <c r="E86" s="53">
        <v>45877</v>
      </c>
    </row>
    <row r="87" spans="1:5">
      <c r="A87" s="51">
        <v>86</v>
      </c>
      <c r="B87" s="50" t="s">
        <v>280</v>
      </c>
      <c r="C87" s="50" t="s">
        <v>285</v>
      </c>
      <c r="D87" s="51">
        <v>1000</v>
      </c>
      <c r="E87" s="53">
        <v>45878</v>
      </c>
    </row>
    <row r="88" spans="1:5">
      <c r="A88" s="51">
        <v>87</v>
      </c>
      <c r="B88" s="50" t="s">
        <v>280</v>
      </c>
      <c r="C88" s="51" t="s">
        <v>286</v>
      </c>
      <c r="D88" s="51">
        <v>14000</v>
      </c>
      <c r="E88" s="53">
        <v>45879</v>
      </c>
    </row>
    <row r="89" spans="1:5">
      <c r="A89" s="51">
        <v>88</v>
      </c>
      <c r="B89" s="50" t="s">
        <v>280</v>
      </c>
      <c r="C89" s="51" t="s">
        <v>287</v>
      </c>
      <c r="D89" s="51">
        <v>100</v>
      </c>
      <c r="E89" s="53">
        <v>45880</v>
      </c>
    </row>
    <row r="90" spans="1:5">
      <c r="A90" s="51">
        <v>89</v>
      </c>
      <c r="B90" s="50" t="s">
        <v>275</v>
      </c>
      <c r="C90" s="50" t="s">
        <v>276</v>
      </c>
      <c r="D90" s="51">
        <v>23000</v>
      </c>
      <c r="E90" s="53">
        <v>45901</v>
      </c>
    </row>
    <row r="91" spans="1:5">
      <c r="A91" s="51">
        <v>90</v>
      </c>
      <c r="B91" s="50" t="s">
        <v>275</v>
      </c>
      <c r="C91" s="50" t="s">
        <v>277</v>
      </c>
      <c r="D91" s="51">
        <v>0</v>
      </c>
      <c r="E91" s="53">
        <v>45902</v>
      </c>
    </row>
    <row r="92" spans="1:5">
      <c r="A92" s="51">
        <v>91</v>
      </c>
      <c r="B92" s="50" t="s">
        <v>275</v>
      </c>
      <c r="C92" s="51" t="s">
        <v>278</v>
      </c>
      <c r="D92" s="51">
        <v>0</v>
      </c>
      <c r="E92" s="53">
        <v>45903</v>
      </c>
    </row>
    <row r="93" spans="1:5">
      <c r="A93" s="51">
        <v>92</v>
      </c>
      <c r="B93" s="50" t="s">
        <v>275</v>
      </c>
      <c r="C93" s="51" t="s">
        <v>279</v>
      </c>
      <c r="D93" s="51">
        <v>32000</v>
      </c>
      <c r="E93" s="53">
        <v>45904</v>
      </c>
    </row>
    <row r="94" spans="1:5">
      <c r="A94" s="51">
        <v>93</v>
      </c>
      <c r="B94" s="50" t="s">
        <v>280</v>
      </c>
      <c r="C94" s="51" t="s">
        <v>281</v>
      </c>
      <c r="D94" s="51">
        <v>0</v>
      </c>
      <c r="E94" s="53">
        <v>45905</v>
      </c>
    </row>
    <row r="95" spans="1:5">
      <c r="A95" s="51">
        <v>94</v>
      </c>
      <c r="B95" s="50" t="s">
        <v>280</v>
      </c>
      <c r="C95" s="50" t="s">
        <v>282</v>
      </c>
      <c r="D95" s="51">
        <v>1200</v>
      </c>
      <c r="E95" s="53">
        <v>45906</v>
      </c>
    </row>
    <row r="96" spans="1:5">
      <c r="A96" s="51">
        <v>95</v>
      </c>
      <c r="B96" s="50" t="s">
        <v>280</v>
      </c>
      <c r="C96" s="50" t="s">
        <v>283</v>
      </c>
      <c r="D96" s="51">
        <v>2500</v>
      </c>
      <c r="E96" s="53">
        <v>45907</v>
      </c>
    </row>
    <row r="97" spans="1:5">
      <c r="A97" s="51">
        <v>96</v>
      </c>
      <c r="B97" s="50" t="s">
        <v>280</v>
      </c>
      <c r="C97" s="50" t="s">
        <v>284</v>
      </c>
      <c r="D97" s="51">
        <v>1800</v>
      </c>
      <c r="E97" s="53">
        <v>45908</v>
      </c>
    </row>
    <row r="98" spans="1:5">
      <c r="A98" s="51">
        <v>97</v>
      </c>
      <c r="B98" s="50" t="s">
        <v>280</v>
      </c>
      <c r="C98" s="50" t="s">
        <v>285</v>
      </c>
      <c r="D98" s="51">
        <v>1000</v>
      </c>
      <c r="E98" s="53">
        <v>45909</v>
      </c>
    </row>
    <row r="99" spans="1:5">
      <c r="A99" s="51">
        <v>98</v>
      </c>
      <c r="B99" s="50" t="s">
        <v>280</v>
      </c>
      <c r="C99" s="51" t="s">
        <v>286</v>
      </c>
      <c r="D99" s="51">
        <v>14000</v>
      </c>
      <c r="E99" s="53">
        <v>45910</v>
      </c>
    </row>
    <row r="100" spans="1:5">
      <c r="A100" s="51">
        <v>99</v>
      </c>
      <c r="B100" s="50" t="s">
        <v>280</v>
      </c>
      <c r="C100" s="51" t="s">
        <v>287</v>
      </c>
      <c r="D100" s="51">
        <v>100</v>
      </c>
      <c r="E100" s="53">
        <v>45911</v>
      </c>
    </row>
    <row r="101" spans="1:5">
      <c r="A101" s="51">
        <v>100</v>
      </c>
      <c r="B101" s="50" t="s">
        <v>275</v>
      </c>
      <c r="C101" s="50" t="s">
        <v>276</v>
      </c>
      <c r="D101" s="51">
        <v>30000</v>
      </c>
      <c r="E101" s="53">
        <v>45931</v>
      </c>
    </row>
    <row r="102" spans="1:5">
      <c r="A102" s="51">
        <v>101</v>
      </c>
      <c r="B102" s="50" t="s">
        <v>275</v>
      </c>
      <c r="C102" s="50" t="s">
        <v>277</v>
      </c>
      <c r="D102" s="51">
        <v>0</v>
      </c>
      <c r="E102" s="53">
        <v>45932</v>
      </c>
    </row>
    <row r="103" spans="1:5">
      <c r="A103" s="51">
        <v>102</v>
      </c>
      <c r="B103" s="50" t="s">
        <v>275</v>
      </c>
      <c r="C103" s="51" t="s">
        <v>278</v>
      </c>
      <c r="D103" s="51">
        <v>0</v>
      </c>
      <c r="E103" s="53">
        <v>45933</v>
      </c>
    </row>
    <row r="104" spans="1:5">
      <c r="A104" s="51">
        <v>103</v>
      </c>
      <c r="B104" s="50" t="s">
        <v>275</v>
      </c>
      <c r="C104" s="51" t="s">
        <v>279</v>
      </c>
      <c r="D104" s="51">
        <v>16000</v>
      </c>
      <c r="E104" s="53">
        <v>45934</v>
      </c>
    </row>
    <row r="105" spans="1:5">
      <c r="A105" s="51">
        <v>104</v>
      </c>
      <c r="B105" s="50" t="s">
        <v>280</v>
      </c>
      <c r="C105" s="51" t="s">
        <v>281</v>
      </c>
      <c r="D105" s="51">
        <v>0</v>
      </c>
      <c r="E105" s="53">
        <v>45935</v>
      </c>
    </row>
    <row r="106" spans="1:5">
      <c r="A106" s="51">
        <v>105</v>
      </c>
      <c r="B106" s="50" t="s">
        <v>280</v>
      </c>
      <c r="C106" s="50" t="s">
        <v>282</v>
      </c>
      <c r="D106" s="51">
        <v>1200</v>
      </c>
      <c r="E106" s="53">
        <v>45936</v>
      </c>
    </row>
    <row r="107" spans="1:5">
      <c r="A107" s="51">
        <v>106</v>
      </c>
      <c r="B107" s="50" t="s">
        <v>280</v>
      </c>
      <c r="C107" s="50" t="s">
        <v>283</v>
      </c>
      <c r="D107" s="51">
        <v>2000</v>
      </c>
      <c r="E107" s="53">
        <v>45937</v>
      </c>
    </row>
    <row r="108" spans="1:5">
      <c r="A108" s="51">
        <v>107</v>
      </c>
      <c r="B108" s="50" t="s">
        <v>280</v>
      </c>
      <c r="C108" s="50" t="s">
        <v>284</v>
      </c>
      <c r="D108" s="51">
        <v>1000</v>
      </c>
      <c r="E108" s="53">
        <v>45938</v>
      </c>
    </row>
    <row r="109" spans="1:5">
      <c r="A109" s="51">
        <v>108</v>
      </c>
      <c r="B109" s="50" t="s">
        <v>280</v>
      </c>
      <c r="C109" s="50" t="s">
        <v>285</v>
      </c>
      <c r="D109" s="51">
        <v>1000</v>
      </c>
      <c r="E109" s="53">
        <v>45939</v>
      </c>
    </row>
    <row r="110" spans="1:5">
      <c r="A110" s="51">
        <v>109</v>
      </c>
      <c r="B110" s="50" t="s">
        <v>280</v>
      </c>
      <c r="C110" s="51" t="s">
        <v>286</v>
      </c>
      <c r="D110" s="51">
        <v>14000</v>
      </c>
      <c r="E110" s="53">
        <v>45940</v>
      </c>
    </row>
    <row r="111" spans="1:5">
      <c r="A111" s="51">
        <v>110</v>
      </c>
      <c r="B111" s="50" t="s">
        <v>280</v>
      </c>
      <c r="C111" s="51" t="s">
        <v>287</v>
      </c>
      <c r="D111" s="51">
        <v>800</v>
      </c>
      <c r="E111" s="53">
        <v>45941</v>
      </c>
    </row>
    <row r="112" spans="1:5">
      <c r="A112" s="51">
        <v>111</v>
      </c>
      <c r="B112" s="50" t="s">
        <v>275</v>
      </c>
      <c r="C112" s="50" t="s">
        <v>276</v>
      </c>
      <c r="D112" s="51">
        <v>25000</v>
      </c>
      <c r="E112" s="53">
        <v>45962</v>
      </c>
    </row>
    <row r="113" spans="1:5">
      <c r="A113" s="51">
        <v>112</v>
      </c>
      <c r="B113" s="50" t="s">
        <v>275</v>
      </c>
      <c r="C113" s="50" t="s">
        <v>277</v>
      </c>
      <c r="D113" s="51">
        <v>0</v>
      </c>
      <c r="E113" s="53">
        <v>45963</v>
      </c>
    </row>
    <row r="114" spans="1:5">
      <c r="A114" s="51">
        <v>113</v>
      </c>
      <c r="B114" s="50" t="s">
        <v>275</v>
      </c>
      <c r="C114" s="51" t="s">
        <v>278</v>
      </c>
      <c r="D114" s="51">
        <v>0</v>
      </c>
      <c r="E114" s="53">
        <v>45964</v>
      </c>
    </row>
    <row r="115" spans="1:5">
      <c r="A115" s="51">
        <v>114</v>
      </c>
      <c r="B115" s="50" t="s">
        <v>275</v>
      </c>
      <c r="C115" s="51" t="s">
        <v>279</v>
      </c>
      <c r="D115" s="51">
        <v>14000</v>
      </c>
      <c r="E115" s="53">
        <v>45965</v>
      </c>
    </row>
    <row r="116" spans="1:5">
      <c r="A116" s="51">
        <v>115</v>
      </c>
      <c r="B116" s="50" t="s">
        <v>280</v>
      </c>
      <c r="C116" s="51" t="s">
        <v>281</v>
      </c>
      <c r="D116" s="51">
        <v>0</v>
      </c>
      <c r="E116" s="53">
        <v>45966</v>
      </c>
    </row>
    <row r="117" spans="1:5">
      <c r="A117" s="51">
        <v>116</v>
      </c>
      <c r="B117" s="50" t="s">
        <v>280</v>
      </c>
      <c r="C117" s="50" t="s">
        <v>282</v>
      </c>
      <c r="D117" s="51">
        <v>1200</v>
      </c>
      <c r="E117" s="53">
        <v>45967</v>
      </c>
    </row>
    <row r="118" spans="1:5">
      <c r="A118" s="51">
        <v>117</v>
      </c>
      <c r="B118" s="50" t="s">
        <v>280</v>
      </c>
      <c r="C118" s="50" t="s">
        <v>283</v>
      </c>
      <c r="D118" s="51">
        <v>2200</v>
      </c>
      <c r="E118" s="53">
        <v>45968</v>
      </c>
    </row>
    <row r="119" spans="1:5">
      <c r="A119" s="51">
        <v>118</v>
      </c>
      <c r="B119" s="50" t="s">
        <v>280</v>
      </c>
      <c r="C119" s="50" t="s">
        <v>284</v>
      </c>
      <c r="D119" s="51">
        <v>1300</v>
      </c>
      <c r="E119" s="53">
        <v>45969</v>
      </c>
    </row>
    <row r="120" spans="1:5">
      <c r="A120" s="51">
        <v>119</v>
      </c>
      <c r="B120" s="50" t="s">
        <v>280</v>
      </c>
      <c r="C120" s="50" t="s">
        <v>285</v>
      </c>
      <c r="D120" s="51">
        <v>1000</v>
      </c>
      <c r="E120" s="53">
        <v>45970</v>
      </c>
    </row>
    <row r="121" spans="1:5">
      <c r="A121" s="51">
        <v>120</v>
      </c>
      <c r="B121" s="50" t="s">
        <v>280</v>
      </c>
      <c r="C121" s="51" t="s">
        <v>286</v>
      </c>
      <c r="D121" s="51">
        <v>14000</v>
      </c>
      <c r="E121" s="53">
        <v>45971</v>
      </c>
    </row>
    <row r="122" spans="1:5">
      <c r="A122" s="51">
        <v>121</v>
      </c>
      <c r="B122" s="50" t="s">
        <v>280</v>
      </c>
      <c r="C122" s="51" t="s">
        <v>287</v>
      </c>
      <c r="D122" s="51">
        <v>400</v>
      </c>
      <c r="E122" s="53">
        <v>45972</v>
      </c>
    </row>
    <row r="123" spans="1:5">
      <c r="A123" s="51">
        <v>122</v>
      </c>
      <c r="B123" s="50" t="s">
        <v>275</v>
      </c>
      <c r="C123" s="50" t="s">
        <v>276</v>
      </c>
      <c r="D123" s="51">
        <v>18000</v>
      </c>
      <c r="E123" s="53">
        <v>45992</v>
      </c>
    </row>
    <row r="124" spans="1:5">
      <c r="A124" s="51">
        <v>123</v>
      </c>
      <c r="B124" s="50" t="s">
        <v>275</v>
      </c>
      <c r="C124" s="50" t="s">
        <v>277</v>
      </c>
      <c r="D124" s="51">
        <v>5000</v>
      </c>
      <c r="E124" s="53">
        <v>45993</v>
      </c>
    </row>
    <row r="125" spans="1:5">
      <c r="A125" s="51">
        <v>124</v>
      </c>
      <c r="B125" s="50" t="s">
        <v>275</v>
      </c>
      <c r="C125" s="51" t="s">
        <v>278</v>
      </c>
      <c r="D125" s="51">
        <v>0</v>
      </c>
      <c r="E125" s="53">
        <v>45994</v>
      </c>
    </row>
    <row r="126" spans="1:5">
      <c r="A126" s="51">
        <v>125</v>
      </c>
      <c r="B126" s="50" t="s">
        <v>275</v>
      </c>
      <c r="C126" s="51" t="s">
        <v>279</v>
      </c>
      <c r="D126" s="51">
        <v>12000</v>
      </c>
      <c r="E126" s="53">
        <v>45995</v>
      </c>
    </row>
    <row r="127" spans="1:5">
      <c r="A127" s="51">
        <v>126</v>
      </c>
      <c r="B127" s="50" t="s">
        <v>280</v>
      </c>
      <c r="C127" s="51" t="s">
        <v>281</v>
      </c>
      <c r="D127" s="51">
        <v>0</v>
      </c>
      <c r="E127" s="53">
        <v>45996</v>
      </c>
    </row>
    <row r="128" spans="1:5">
      <c r="A128" s="51">
        <v>127</v>
      </c>
      <c r="B128" s="50" t="s">
        <v>280</v>
      </c>
      <c r="C128" s="50" t="s">
        <v>282</v>
      </c>
      <c r="D128" s="51">
        <v>1200</v>
      </c>
      <c r="E128" s="53">
        <v>45997</v>
      </c>
    </row>
    <row r="129" spans="1:5">
      <c r="A129" s="51">
        <v>128</v>
      </c>
      <c r="B129" s="50" t="s">
        <v>280</v>
      </c>
      <c r="C129" s="50" t="s">
        <v>283</v>
      </c>
      <c r="D129" s="51">
        <v>1300</v>
      </c>
      <c r="E129" s="53">
        <v>45998</v>
      </c>
    </row>
    <row r="130" spans="1:5">
      <c r="A130" s="51">
        <v>129</v>
      </c>
      <c r="B130" s="50" t="s">
        <v>280</v>
      </c>
      <c r="C130" s="50" t="s">
        <v>284</v>
      </c>
      <c r="D130" s="51">
        <v>1000</v>
      </c>
      <c r="E130" s="53">
        <v>45999</v>
      </c>
    </row>
    <row r="131" spans="1:5">
      <c r="A131" s="51">
        <v>130</v>
      </c>
      <c r="B131" s="50" t="s">
        <v>280</v>
      </c>
      <c r="C131" s="50" t="s">
        <v>285</v>
      </c>
      <c r="D131" s="51">
        <v>1000</v>
      </c>
      <c r="E131" s="53">
        <v>46000</v>
      </c>
    </row>
    <row r="132" spans="1:5">
      <c r="A132" s="51">
        <v>131</v>
      </c>
      <c r="B132" s="50" t="s">
        <v>280</v>
      </c>
      <c r="C132" s="51" t="s">
        <v>286</v>
      </c>
      <c r="D132" s="51">
        <v>14000</v>
      </c>
      <c r="E132" s="53">
        <v>46001</v>
      </c>
    </row>
    <row r="133" spans="1:5">
      <c r="A133" s="51">
        <v>132</v>
      </c>
      <c r="B133" s="50" t="s">
        <v>280</v>
      </c>
      <c r="C133" s="51" t="s">
        <v>287</v>
      </c>
      <c r="D133" s="51">
        <v>500</v>
      </c>
      <c r="E133" s="53">
        <v>46002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84A62-7113-4A47-B5C4-102716C23446}">
  <dimension ref="A3:B17"/>
  <sheetViews>
    <sheetView topLeftCell="A2" workbookViewId="0">
      <selection activeCell="B17" sqref="B17"/>
    </sheetView>
  </sheetViews>
  <sheetFormatPr defaultRowHeight="15"/>
  <cols>
    <col min="1" max="1" width="20" bestFit="1" customWidth="1"/>
    <col min="2" max="2" width="14.85546875" bestFit="1" customWidth="1"/>
  </cols>
  <sheetData>
    <row r="3" spans="1:2">
      <c r="A3" s="42" t="s">
        <v>268</v>
      </c>
      <c r="B3" t="s">
        <v>288</v>
      </c>
    </row>
    <row r="4" spans="1:2">
      <c r="A4" s="43" t="s">
        <v>280</v>
      </c>
      <c r="B4" s="44">
        <v>235900</v>
      </c>
    </row>
    <row r="5" spans="1:2">
      <c r="A5" s="45" t="s">
        <v>283</v>
      </c>
      <c r="B5" s="44">
        <v>23900</v>
      </c>
    </row>
    <row r="6" spans="1:2">
      <c r="A6" s="45" t="s">
        <v>285</v>
      </c>
      <c r="B6" s="44">
        <v>12000</v>
      </c>
    </row>
    <row r="7" spans="1:2">
      <c r="A7" s="45" t="s">
        <v>287</v>
      </c>
      <c r="B7" s="44">
        <v>2800</v>
      </c>
    </row>
    <row r="8" spans="1:2">
      <c r="A8" s="45" t="s">
        <v>286</v>
      </c>
      <c r="B8" s="44">
        <v>168000</v>
      </c>
    </row>
    <row r="9" spans="1:2">
      <c r="A9" s="45" t="s">
        <v>281</v>
      </c>
      <c r="B9" s="44">
        <v>200</v>
      </c>
    </row>
    <row r="10" spans="1:2">
      <c r="A10" s="45" t="s">
        <v>282</v>
      </c>
      <c r="B10" s="44">
        <v>15500</v>
      </c>
    </row>
    <row r="11" spans="1:2">
      <c r="A11" s="45" t="s">
        <v>284</v>
      </c>
      <c r="B11" s="44">
        <v>13500</v>
      </c>
    </row>
    <row r="12" spans="1:2">
      <c r="A12" s="43" t="s">
        <v>275</v>
      </c>
      <c r="B12" s="44">
        <v>444200</v>
      </c>
    </row>
    <row r="13" spans="1:2">
      <c r="A13" s="45" t="s">
        <v>276</v>
      </c>
      <c r="B13" s="44">
        <v>234200</v>
      </c>
    </row>
    <row r="14" spans="1:2">
      <c r="A14" s="45" t="s">
        <v>277</v>
      </c>
      <c r="B14" s="44">
        <v>13000</v>
      </c>
    </row>
    <row r="15" spans="1:2">
      <c r="A15" s="45" t="s">
        <v>279</v>
      </c>
      <c r="B15" s="44">
        <v>183000</v>
      </c>
    </row>
    <row r="16" spans="1:2">
      <c r="A16" s="45" t="s">
        <v>278</v>
      </c>
      <c r="B16" s="44">
        <v>14000</v>
      </c>
    </row>
    <row r="17" spans="1:2">
      <c r="A17" s="43" t="s">
        <v>269</v>
      </c>
      <c r="B17" s="44">
        <v>680100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652F-438A-4C7B-92B3-C8A2D6916067}">
  <dimension ref="A1:N24"/>
  <sheetViews>
    <sheetView topLeftCell="A4" workbookViewId="0">
      <selection sqref="A1:I24"/>
    </sheetView>
  </sheetViews>
  <sheetFormatPr defaultRowHeight="15"/>
  <cols>
    <col min="2" max="2" width="21.140625" bestFit="1" customWidth="1"/>
    <col min="3" max="3" width="23.7109375" bestFit="1" customWidth="1"/>
    <col min="5" max="5" width="16.7109375" bestFit="1" customWidth="1"/>
    <col min="6" max="6" width="15" bestFit="1" customWidth="1"/>
    <col min="8" max="8" width="11.85546875" bestFit="1" customWidth="1"/>
    <col min="9" max="9" width="15.85546875" bestFit="1" customWidth="1"/>
    <col min="11" max="11" width="22.42578125" bestFit="1" customWidth="1"/>
    <col min="12" max="13" width="21.140625" customWidth="1"/>
    <col min="14" max="14" width="16.42578125" bestFit="1" customWidth="1"/>
  </cols>
  <sheetData>
    <row r="1" spans="1:14">
      <c r="A1" s="6" t="s">
        <v>22</v>
      </c>
      <c r="B1" s="6" t="s">
        <v>23</v>
      </c>
      <c r="C1" s="6" t="s">
        <v>24</v>
      </c>
      <c r="D1" s="6" t="s">
        <v>25</v>
      </c>
      <c r="E1" s="6" t="s">
        <v>15</v>
      </c>
      <c r="F1" s="6" t="s">
        <v>26</v>
      </c>
      <c r="G1" s="6" t="s">
        <v>27</v>
      </c>
      <c r="H1" s="6" t="s">
        <v>28</v>
      </c>
      <c r="I1" s="6" t="s">
        <v>29</v>
      </c>
    </row>
    <row r="2" spans="1:14">
      <c r="A2" s="50">
        <v>18001</v>
      </c>
      <c r="B2" s="50" t="s">
        <v>30</v>
      </c>
      <c r="C2" s="50" t="s">
        <v>31</v>
      </c>
      <c r="D2" s="50" t="s">
        <v>32</v>
      </c>
      <c r="E2" s="50" t="s">
        <v>33</v>
      </c>
      <c r="F2" s="50" t="s">
        <v>34</v>
      </c>
      <c r="G2" s="50">
        <v>4400</v>
      </c>
      <c r="H2" s="50">
        <v>1576</v>
      </c>
      <c r="I2" s="50" t="s">
        <v>35</v>
      </c>
    </row>
    <row r="3" spans="1:14">
      <c r="A3" s="50">
        <v>18002</v>
      </c>
      <c r="B3" s="50" t="s">
        <v>36</v>
      </c>
      <c r="C3" s="50" t="s">
        <v>37</v>
      </c>
      <c r="D3" s="50" t="s">
        <v>32</v>
      </c>
      <c r="E3" s="50" t="s">
        <v>258</v>
      </c>
      <c r="F3" s="50" t="s">
        <v>38</v>
      </c>
      <c r="G3" s="50">
        <v>4400</v>
      </c>
      <c r="H3" s="50">
        <v>4736</v>
      </c>
      <c r="I3" s="50" t="s">
        <v>39</v>
      </c>
      <c r="K3" s="56" t="s">
        <v>291</v>
      </c>
      <c r="L3" s="56" t="s">
        <v>29</v>
      </c>
      <c r="M3" s="56" t="s">
        <v>15</v>
      </c>
      <c r="N3" s="54" t="s">
        <v>270</v>
      </c>
    </row>
    <row r="4" spans="1:14">
      <c r="A4" s="50">
        <v>18003</v>
      </c>
      <c r="B4" s="50" t="s">
        <v>40</v>
      </c>
      <c r="C4" s="50" t="s">
        <v>41</v>
      </c>
      <c r="D4" s="50" t="s">
        <v>32</v>
      </c>
      <c r="E4" s="50" t="s">
        <v>33</v>
      </c>
      <c r="F4" s="50" t="s">
        <v>38</v>
      </c>
      <c r="G4" s="50">
        <v>4400</v>
      </c>
      <c r="H4" s="50">
        <v>2113</v>
      </c>
      <c r="I4" s="50" t="s">
        <v>42</v>
      </c>
      <c r="K4" s="76" t="s">
        <v>289</v>
      </c>
      <c r="L4" s="76" t="s">
        <v>39</v>
      </c>
      <c r="M4" s="55" t="s">
        <v>258</v>
      </c>
      <c r="N4" s="44">
        <v>1</v>
      </c>
    </row>
    <row r="5" spans="1:14">
      <c r="A5" s="50">
        <v>18004</v>
      </c>
      <c r="B5" s="50" t="s">
        <v>43</v>
      </c>
      <c r="C5" s="50" t="s">
        <v>44</v>
      </c>
      <c r="D5" s="50" t="s">
        <v>32</v>
      </c>
      <c r="E5" s="50" t="s">
        <v>261</v>
      </c>
      <c r="F5" s="50" t="s">
        <v>38</v>
      </c>
      <c r="G5" s="50">
        <v>4400</v>
      </c>
      <c r="H5" s="50">
        <v>3998</v>
      </c>
      <c r="I5" s="50" t="s">
        <v>42</v>
      </c>
      <c r="K5" s="75"/>
      <c r="L5" s="75"/>
      <c r="M5" s="55" t="s">
        <v>73</v>
      </c>
      <c r="N5" s="44">
        <v>1</v>
      </c>
    </row>
    <row r="6" spans="1:14">
      <c r="A6" s="50">
        <v>18005</v>
      </c>
      <c r="B6" s="50" t="s">
        <v>45</v>
      </c>
      <c r="C6" s="50" t="s">
        <v>46</v>
      </c>
      <c r="D6" s="50" t="s">
        <v>32</v>
      </c>
      <c r="E6" s="50" t="s">
        <v>33</v>
      </c>
      <c r="F6" s="50" t="s">
        <v>38</v>
      </c>
      <c r="G6" s="50">
        <v>4400</v>
      </c>
      <c r="H6" s="50">
        <v>3918</v>
      </c>
      <c r="I6" s="50" t="s">
        <v>42</v>
      </c>
      <c r="K6" s="75"/>
      <c r="L6" s="75"/>
      <c r="M6" s="55" t="s">
        <v>256</v>
      </c>
      <c r="N6" s="44">
        <v>1</v>
      </c>
    </row>
    <row r="7" spans="1:14">
      <c r="A7" s="50">
        <v>18006</v>
      </c>
      <c r="B7" s="50" t="s">
        <v>47</v>
      </c>
      <c r="C7" s="50" t="s">
        <v>48</v>
      </c>
      <c r="D7" s="50" t="s">
        <v>32</v>
      </c>
      <c r="E7" s="50" t="s">
        <v>255</v>
      </c>
      <c r="F7" s="50" t="s">
        <v>38</v>
      </c>
      <c r="G7" s="50">
        <v>4400</v>
      </c>
      <c r="H7" s="50">
        <v>3170</v>
      </c>
      <c r="I7" s="50" t="s">
        <v>42</v>
      </c>
      <c r="K7" s="75"/>
      <c r="L7" s="55" t="s">
        <v>35</v>
      </c>
      <c r="M7" s="55" t="s">
        <v>33</v>
      </c>
      <c r="N7" s="44">
        <v>3</v>
      </c>
    </row>
    <row r="8" spans="1:14">
      <c r="A8" s="50">
        <v>18007</v>
      </c>
      <c r="B8" s="50" t="s">
        <v>49</v>
      </c>
      <c r="C8" s="50" t="s">
        <v>50</v>
      </c>
      <c r="D8" s="50" t="s">
        <v>32</v>
      </c>
      <c r="E8" s="50" t="s">
        <v>33</v>
      </c>
      <c r="F8" s="50" t="s">
        <v>51</v>
      </c>
      <c r="G8" s="50">
        <v>4400</v>
      </c>
      <c r="H8" s="50">
        <v>2647</v>
      </c>
      <c r="I8" s="50" t="s">
        <v>42</v>
      </c>
      <c r="K8" s="75"/>
      <c r="L8" s="55" t="s">
        <v>75</v>
      </c>
      <c r="M8" s="55" t="s">
        <v>73</v>
      </c>
      <c r="N8" s="44">
        <v>1</v>
      </c>
    </row>
    <row r="9" spans="1:14">
      <c r="A9" s="50">
        <v>18008</v>
      </c>
      <c r="B9" s="50" t="s">
        <v>52</v>
      </c>
      <c r="C9" s="50" t="s">
        <v>53</v>
      </c>
      <c r="D9" s="50" t="s">
        <v>54</v>
      </c>
      <c r="E9" s="50" t="s">
        <v>256</v>
      </c>
      <c r="F9" s="50" t="s">
        <v>51</v>
      </c>
      <c r="G9" s="50">
        <v>4400</v>
      </c>
      <c r="H9" s="50">
        <v>2159</v>
      </c>
      <c r="I9" s="50" t="s">
        <v>42</v>
      </c>
      <c r="K9" s="76" t="s">
        <v>290</v>
      </c>
      <c r="L9" s="76" t="s">
        <v>70</v>
      </c>
      <c r="M9" s="55" t="s">
        <v>257</v>
      </c>
      <c r="N9" s="44">
        <v>1</v>
      </c>
    </row>
    <row r="10" spans="1:14">
      <c r="A10" s="50">
        <v>18009</v>
      </c>
      <c r="B10" s="50" t="s">
        <v>55</v>
      </c>
      <c r="C10" s="50" t="s">
        <v>56</v>
      </c>
      <c r="D10" s="50" t="s">
        <v>32</v>
      </c>
      <c r="E10" s="50" t="s">
        <v>33</v>
      </c>
      <c r="F10" s="50" t="s">
        <v>51</v>
      </c>
      <c r="G10" s="50">
        <v>4400</v>
      </c>
      <c r="H10" s="50">
        <v>2581</v>
      </c>
      <c r="I10" s="50" t="s">
        <v>35</v>
      </c>
      <c r="K10" s="75"/>
      <c r="L10" s="75"/>
      <c r="M10" s="55" t="s">
        <v>256</v>
      </c>
      <c r="N10" s="44">
        <v>1</v>
      </c>
    </row>
    <row r="11" spans="1:14">
      <c r="A11" s="50">
        <v>18010</v>
      </c>
      <c r="B11" s="50" t="s">
        <v>57</v>
      </c>
      <c r="C11" s="50" t="s">
        <v>58</v>
      </c>
      <c r="D11" s="50" t="s">
        <v>54</v>
      </c>
      <c r="E11" s="50" t="s">
        <v>33</v>
      </c>
      <c r="F11" s="50" t="s">
        <v>51</v>
      </c>
      <c r="G11" s="50">
        <v>4400</v>
      </c>
      <c r="H11" s="50">
        <v>3093</v>
      </c>
      <c r="I11" s="50" t="s">
        <v>42</v>
      </c>
      <c r="K11" s="75"/>
      <c r="L11" s="75"/>
      <c r="M11" s="55" t="s">
        <v>259</v>
      </c>
      <c r="N11" s="44">
        <v>1</v>
      </c>
    </row>
    <row r="12" spans="1:14">
      <c r="A12" s="50">
        <v>18011</v>
      </c>
      <c r="B12" s="50" t="s">
        <v>59</v>
      </c>
      <c r="C12" s="50" t="s">
        <v>60</v>
      </c>
      <c r="D12" s="50" t="s">
        <v>32</v>
      </c>
      <c r="E12" s="50" t="s">
        <v>256</v>
      </c>
      <c r="F12" s="50" t="s">
        <v>51</v>
      </c>
      <c r="G12" s="50">
        <v>4400</v>
      </c>
      <c r="H12" s="50">
        <v>4350</v>
      </c>
      <c r="I12" s="50" t="s">
        <v>39</v>
      </c>
      <c r="K12" s="75"/>
      <c r="L12" s="55" t="s">
        <v>88</v>
      </c>
      <c r="M12" s="55" t="s">
        <v>73</v>
      </c>
      <c r="N12" s="44">
        <v>1</v>
      </c>
    </row>
    <row r="13" spans="1:14">
      <c r="A13" s="50">
        <v>18012</v>
      </c>
      <c r="B13" s="50" t="s">
        <v>61</v>
      </c>
      <c r="C13" s="50" t="s">
        <v>62</v>
      </c>
      <c r="D13" s="50" t="s">
        <v>32</v>
      </c>
      <c r="E13" s="50" t="s">
        <v>33</v>
      </c>
      <c r="F13" s="50" t="s">
        <v>63</v>
      </c>
      <c r="G13" s="50">
        <v>4400</v>
      </c>
      <c r="H13" s="50">
        <v>4381</v>
      </c>
      <c r="I13" s="50" t="s">
        <v>42</v>
      </c>
      <c r="K13" s="75"/>
      <c r="L13" s="76" t="s">
        <v>42</v>
      </c>
      <c r="M13" s="55" t="s">
        <v>73</v>
      </c>
      <c r="N13" s="44">
        <v>1</v>
      </c>
    </row>
    <row r="14" spans="1:14">
      <c r="A14" s="50">
        <v>18013</v>
      </c>
      <c r="B14" s="50" t="s">
        <v>64</v>
      </c>
      <c r="C14" s="50" t="s">
        <v>65</v>
      </c>
      <c r="D14" s="50" t="s">
        <v>54</v>
      </c>
      <c r="E14" s="50" t="s">
        <v>33</v>
      </c>
      <c r="F14" s="50" t="s">
        <v>63</v>
      </c>
      <c r="G14" s="50">
        <v>4400</v>
      </c>
      <c r="H14" s="50">
        <v>2379</v>
      </c>
      <c r="I14" s="50" t="s">
        <v>35</v>
      </c>
      <c r="K14" s="75"/>
      <c r="L14" s="75"/>
      <c r="M14" s="55" t="s">
        <v>33</v>
      </c>
      <c r="N14" s="44">
        <v>5</v>
      </c>
    </row>
    <row r="15" spans="1:14">
      <c r="A15" s="50">
        <v>18014</v>
      </c>
      <c r="B15" s="50" t="s">
        <v>66</v>
      </c>
      <c r="C15" s="50" t="s">
        <v>67</v>
      </c>
      <c r="D15" s="50" t="s">
        <v>54</v>
      </c>
      <c r="E15" s="50" t="s">
        <v>256</v>
      </c>
      <c r="F15" s="50" t="s">
        <v>63</v>
      </c>
      <c r="G15" s="50">
        <v>4400</v>
      </c>
      <c r="H15" s="50">
        <v>3764</v>
      </c>
      <c r="I15" s="50" t="s">
        <v>42</v>
      </c>
      <c r="K15" s="75"/>
      <c r="L15" s="75"/>
      <c r="M15" s="55" t="s">
        <v>255</v>
      </c>
      <c r="N15" s="44">
        <v>1</v>
      </c>
    </row>
    <row r="16" spans="1:14">
      <c r="A16" s="50">
        <v>18015</v>
      </c>
      <c r="B16" s="50" t="s">
        <v>68</v>
      </c>
      <c r="C16" s="50" t="s">
        <v>69</v>
      </c>
      <c r="D16" s="50" t="s">
        <v>54</v>
      </c>
      <c r="E16" s="50" t="s">
        <v>256</v>
      </c>
      <c r="F16" s="50" t="s">
        <v>63</v>
      </c>
      <c r="G16" s="50">
        <v>4400</v>
      </c>
      <c r="H16" s="50">
        <v>4337</v>
      </c>
      <c r="I16" s="50" t="s">
        <v>70</v>
      </c>
      <c r="K16" s="75"/>
      <c r="L16" s="75"/>
      <c r="M16" s="55" t="s">
        <v>260</v>
      </c>
      <c r="N16" s="44">
        <v>2</v>
      </c>
    </row>
    <row r="17" spans="1:14">
      <c r="A17" s="50">
        <v>18016</v>
      </c>
      <c r="B17" s="50" t="s">
        <v>71</v>
      </c>
      <c r="C17" s="50" t="s">
        <v>72</v>
      </c>
      <c r="D17" s="50" t="s">
        <v>32</v>
      </c>
      <c r="E17" s="50" t="s">
        <v>73</v>
      </c>
      <c r="F17" s="50" t="s">
        <v>74</v>
      </c>
      <c r="G17" s="50">
        <v>5500</v>
      </c>
      <c r="H17" s="50">
        <v>4744</v>
      </c>
      <c r="I17" s="50" t="s">
        <v>75</v>
      </c>
      <c r="K17" s="75"/>
      <c r="L17" s="75"/>
      <c r="M17" s="55" t="s">
        <v>256</v>
      </c>
      <c r="N17" s="44">
        <v>2</v>
      </c>
    </row>
    <row r="18" spans="1:14">
      <c r="A18" s="50">
        <v>18017</v>
      </c>
      <c r="B18" s="50" t="s">
        <v>76</v>
      </c>
      <c r="C18" s="50" t="s">
        <v>77</v>
      </c>
      <c r="D18" s="50" t="s">
        <v>54</v>
      </c>
      <c r="E18" s="50" t="s">
        <v>260</v>
      </c>
      <c r="F18" s="50" t="s">
        <v>74</v>
      </c>
      <c r="G18" s="50">
        <v>5500</v>
      </c>
      <c r="H18" s="50">
        <v>3165</v>
      </c>
      <c r="I18" s="50" t="s">
        <v>42</v>
      </c>
      <c r="K18" s="75"/>
      <c r="L18" s="75"/>
      <c r="M18" s="55" t="s">
        <v>261</v>
      </c>
      <c r="N18" s="44">
        <v>1</v>
      </c>
    </row>
    <row r="19" spans="1:14">
      <c r="A19" s="50">
        <v>18018</v>
      </c>
      <c r="B19" s="50" t="s">
        <v>78</v>
      </c>
      <c r="C19" s="50" t="s">
        <v>79</v>
      </c>
      <c r="D19" s="50" t="s">
        <v>54</v>
      </c>
      <c r="E19" s="50" t="s">
        <v>73</v>
      </c>
      <c r="F19" s="50" t="s">
        <v>74</v>
      </c>
      <c r="G19" s="50">
        <v>5500</v>
      </c>
      <c r="H19" s="50">
        <v>3674</v>
      </c>
      <c r="I19" s="50" t="s">
        <v>42</v>
      </c>
      <c r="K19" s="76" t="s">
        <v>269</v>
      </c>
      <c r="L19" s="75"/>
      <c r="M19" s="75"/>
      <c r="N19" s="44">
        <v>23</v>
      </c>
    </row>
    <row r="20" spans="1:14">
      <c r="A20" s="50">
        <v>18019</v>
      </c>
      <c r="B20" s="50" t="s">
        <v>80</v>
      </c>
      <c r="C20" s="50" t="s">
        <v>81</v>
      </c>
      <c r="D20" s="50" t="s">
        <v>32</v>
      </c>
      <c r="E20" s="50" t="s">
        <v>260</v>
      </c>
      <c r="F20" s="50" t="s">
        <v>82</v>
      </c>
      <c r="G20" s="50">
        <v>5500</v>
      </c>
      <c r="H20" s="50">
        <v>4326</v>
      </c>
      <c r="I20" s="50" t="s">
        <v>42</v>
      </c>
    </row>
    <row r="21" spans="1:14">
      <c r="A21" s="50">
        <v>18020</v>
      </c>
      <c r="B21" s="50" t="s">
        <v>83</v>
      </c>
      <c r="C21" s="50" t="s">
        <v>84</v>
      </c>
      <c r="D21" s="50" t="s">
        <v>32</v>
      </c>
      <c r="E21" s="50" t="s">
        <v>257</v>
      </c>
      <c r="F21" s="50" t="s">
        <v>85</v>
      </c>
      <c r="G21" s="50">
        <v>5500</v>
      </c>
      <c r="H21" s="50">
        <v>4938</v>
      </c>
      <c r="I21" s="50" t="s">
        <v>70</v>
      </c>
    </row>
    <row r="22" spans="1:14">
      <c r="A22" s="50">
        <v>18021</v>
      </c>
      <c r="B22" s="50" t="s">
        <v>86</v>
      </c>
      <c r="C22" s="50" t="s">
        <v>87</v>
      </c>
      <c r="D22" s="50" t="s">
        <v>32</v>
      </c>
      <c r="E22" s="50" t="s">
        <v>73</v>
      </c>
      <c r="F22" s="50" t="s">
        <v>85</v>
      </c>
      <c r="G22" s="50">
        <v>5500</v>
      </c>
      <c r="H22" s="50">
        <v>1803</v>
      </c>
      <c r="I22" s="50" t="s">
        <v>88</v>
      </c>
    </row>
    <row r="23" spans="1:14">
      <c r="A23" s="50">
        <v>18022</v>
      </c>
      <c r="B23" s="50" t="s">
        <v>89</v>
      </c>
      <c r="C23" s="50" t="s">
        <v>90</v>
      </c>
      <c r="D23" s="50" t="s">
        <v>32</v>
      </c>
      <c r="E23" s="50" t="s">
        <v>259</v>
      </c>
      <c r="F23" s="50" t="s">
        <v>85</v>
      </c>
      <c r="G23" s="50">
        <v>5500</v>
      </c>
      <c r="H23" s="50">
        <v>3373</v>
      </c>
      <c r="I23" s="50" t="s">
        <v>70</v>
      </c>
    </row>
    <row r="24" spans="1:14">
      <c r="A24" s="50">
        <v>18023</v>
      </c>
      <c r="B24" s="50" t="s">
        <v>91</v>
      </c>
      <c r="C24" s="50" t="s">
        <v>92</v>
      </c>
      <c r="D24" s="50" t="s">
        <v>32</v>
      </c>
      <c r="E24" s="50" t="s">
        <v>73</v>
      </c>
      <c r="F24" s="50" t="s">
        <v>85</v>
      </c>
      <c r="G24" s="50">
        <v>5500</v>
      </c>
      <c r="H24" s="50">
        <v>4117</v>
      </c>
      <c r="I24" s="50" t="s">
        <v>39</v>
      </c>
    </row>
  </sheetData>
  <mergeCells count="6">
    <mergeCell ref="K19:M19"/>
    <mergeCell ref="L4:L6"/>
    <mergeCell ref="L9:L11"/>
    <mergeCell ref="L13:L18"/>
    <mergeCell ref="K4:K8"/>
    <mergeCell ref="K9:K1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B1BF6-F72F-40DB-89F6-BB8984F2A85F}">
  <dimension ref="A1:L35"/>
  <sheetViews>
    <sheetView zoomScale="117" workbookViewId="0">
      <selection activeCell="H1" activeCellId="1" sqref="E1:E1048576 H1:H1048576"/>
    </sheetView>
  </sheetViews>
  <sheetFormatPr defaultRowHeight="15"/>
  <cols>
    <col min="1" max="1" width="15.85546875" bestFit="1" customWidth="1"/>
    <col min="2" max="2" width="21.140625" bestFit="1" customWidth="1"/>
    <col min="3" max="3" width="23.7109375" bestFit="1" customWidth="1"/>
    <col min="5" max="5" width="16.7109375" bestFit="1" customWidth="1"/>
    <col min="6" max="6" width="15" bestFit="1" customWidth="1"/>
    <col min="8" max="8" width="11.85546875" bestFit="1" customWidth="1"/>
    <col min="9" max="9" width="15.85546875" bestFit="1" customWidth="1"/>
    <col min="11" max="11" width="15.85546875" bestFit="1" customWidth="1"/>
    <col min="12" max="13" width="18.85546875" bestFit="1" customWidth="1"/>
  </cols>
  <sheetData>
    <row r="1" spans="1:12">
      <c r="A1" s="6" t="s">
        <v>22</v>
      </c>
      <c r="B1" s="6" t="s">
        <v>23</v>
      </c>
      <c r="C1" s="6" t="s">
        <v>24</v>
      </c>
      <c r="D1" s="6" t="s">
        <v>25</v>
      </c>
      <c r="E1" s="6" t="s">
        <v>15</v>
      </c>
      <c r="F1" s="6" t="s">
        <v>26</v>
      </c>
      <c r="G1" s="6" t="s">
        <v>27</v>
      </c>
      <c r="H1" s="6" t="s">
        <v>28</v>
      </c>
      <c r="I1" s="6" t="s">
        <v>29</v>
      </c>
    </row>
    <row r="2" spans="1:12">
      <c r="A2" s="50">
        <v>18001</v>
      </c>
      <c r="B2" s="50" t="s">
        <v>30</v>
      </c>
      <c r="C2" s="50" t="s">
        <v>31</v>
      </c>
      <c r="D2" s="50" t="s">
        <v>32</v>
      </c>
      <c r="E2" s="50" t="s">
        <v>33</v>
      </c>
      <c r="F2" s="50" t="s">
        <v>34</v>
      </c>
      <c r="G2" s="50">
        <v>4400</v>
      </c>
      <c r="H2" s="50">
        <v>1576</v>
      </c>
      <c r="I2" s="50" t="s">
        <v>35</v>
      </c>
    </row>
    <row r="3" spans="1:12">
      <c r="A3" s="50">
        <v>18002</v>
      </c>
      <c r="B3" s="50" t="s">
        <v>36</v>
      </c>
      <c r="C3" s="50" t="s">
        <v>37</v>
      </c>
      <c r="D3" s="50" t="s">
        <v>32</v>
      </c>
      <c r="E3" s="50" t="s">
        <v>258</v>
      </c>
      <c r="F3" s="50" t="s">
        <v>38</v>
      </c>
      <c r="G3" s="50">
        <v>4400</v>
      </c>
      <c r="H3" s="50">
        <v>4736</v>
      </c>
      <c r="I3" s="50" t="s">
        <v>39</v>
      </c>
      <c r="K3" s="42" t="s">
        <v>268</v>
      </c>
      <c r="L3" t="s">
        <v>292</v>
      </c>
    </row>
    <row r="4" spans="1:12">
      <c r="A4" s="50">
        <v>18003</v>
      </c>
      <c r="B4" s="50" t="s">
        <v>40</v>
      </c>
      <c r="C4" s="50" t="s">
        <v>41</v>
      </c>
      <c r="D4" s="50" t="s">
        <v>32</v>
      </c>
      <c r="E4" s="50" t="s">
        <v>33</v>
      </c>
      <c r="F4" s="50" t="s">
        <v>38</v>
      </c>
      <c r="G4" s="50">
        <v>4400</v>
      </c>
      <c r="H4" s="50">
        <v>2113</v>
      </c>
      <c r="I4" s="50" t="s">
        <v>42</v>
      </c>
      <c r="K4" s="43" t="s">
        <v>39</v>
      </c>
      <c r="L4" s="44">
        <v>13203</v>
      </c>
    </row>
    <row r="5" spans="1:12">
      <c r="A5" s="50">
        <v>18004</v>
      </c>
      <c r="B5" s="50" t="s">
        <v>43</v>
      </c>
      <c r="C5" s="50" t="s">
        <v>44</v>
      </c>
      <c r="D5" s="50" t="s">
        <v>32</v>
      </c>
      <c r="E5" s="50" t="s">
        <v>261</v>
      </c>
      <c r="F5" s="50" t="s">
        <v>38</v>
      </c>
      <c r="G5" s="50">
        <v>4400</v>
      </c>
      <c r="H5" s="50">
        <v>3998</v>
      </c>
      <c r="I5" s="50" t="s">
        <v>42</v>
      </c>
      <c r="K5" s="43" t="s">
        <v>35</v>
      </c>
      <c r="L5" s="44">
        <v>6536</v>
      </c>
    </row>
    <row r="6" spans="1:12">
      <c r="A6" s="50">
        <v>18005</v>
      </c>
      <c r="B6" s="50" t="s">
        <v>45</v>
      </c>
      <c r="C6" s="50" t="s">
        <v>46</v>
      </c>
      <c r="D6" s="50" t="s">
        <v>32</v>
      </c>
      <c r="E6" s="50" t="s">
        <v>33</v>
      </c>
      <c r="F6" s="50" t="s">
        <v>38</v>
      </c>
      <c r="G6" s="50">
        <v>4400</v>
      </c>
      <c r="H6" s="50">
        <v>3918</v>
      </c>
      <c r="I6" s="50" t="s">
        <v>42</v>
      </c>
      <c r="K6" s="43" t="s">
        <v>75</v>
      </c>
      <c r="L6" s="44">
        <v>4744</v>
      </c>
    </row>
    <row r="7" spans="1:12">
      <c r="A7" s="50">
        <v>18006</v>
      </c>
      <c r="B7" s="50" t="s">
        <v>47</v>
      </c>
      <c r="C7" s="50" t="s">
        <v>48</v>
      </c>
      <c r="D7" s="50" t="s">
        <v>32</v>
      </c>
      <c r="E7" s="50" t="s">
        <v>255</v>
      </c>
      <c r="F7" s="50" t="s">
        <v>38</v>
      </c>
      <c r="G7" s="50">
        <v>4400</v>
      </c>
      <c r="H7" s="50">
        <v>3170</v>
      </c>
      <c r="I7" s="50" t="s">
        <v>42</v>
      </c>
      <c r="K7" s="43" t="s">
        <v>70</v>
      </c>
      <c r="L7" s="44">
        <v>12648</v>
      </c>
    </row>
    <row r="8" spans="1:12">
      <c r="A8" s="50">
        <v>18007</v>
      </c>
      <c r="B8" s="50" t="s">
        <v>49</v>
      </c>
      <c r="C8" s="50" t="s">
        <v>50</v>
      </c>
      <c r="D8" s="50" t="s">
        <v>32</v>
      </c>
      <c r="E8" s="50" t="s">
        <v>33</v>
      </c>
      <c r="F8" s="50" t="s">
        <v>51</v>
      </c>
      <c r="G8" s="50">
        <v>4400</v>
      </c>
      <c r="H8" s="50">
        <v>2647</v>
      </c>
      <c r="I8" s="50" t="s">
        <v>42</v>
      </c>
      <c r="K8" s="43" t="s">
        <v>88</v>
      </c>
      <c r="L8" s="44">
        <v>1803</v>
      </c>
    </row>
    <row r="9" spans="1:12">
      <c r="A9" s="50">
        <v>18008</v>
      </c>
      <c r="B9" s="50" t="s">
        <v>52</v>
      </c>
      <c r="C9" s="50" t="s">
        <v>53</v>
      </c>
      <c r="D9" s="50" t="s">
        <v>54</v>
      </c>
      <c r="E9" s="50" t="s">
        <v>256</v>
      </c>
      <c r="F9" s="50" t="s">
        <v>51</v>
      </c>
      <c r="G9" s="50">
        <v>4400</v>
      </c>
      <c r="H9" s="50">
        <v>2159</v>
      </c>
      <c r="I9" s="50" t="s">
        <v>42</v>
      </c>
      <c r="K9" s="43" t="s">
        <v>42</v>
      </c>
      <c r="L9" s="44">
        <v>40408</v>
      </c>
    </row>
    <row r="10" spans="1:12">
      <c r="A10" s="50">
        <v>18009</v>
      </c>
      <c r="B10" s="50" t="s">
        <v>55</v>
      </c>
      <c r="C10" s="50" t="s">
        <v>56</v>
      </c>
      <c r="D10" s="50" t="s">
        <v>32</v>
      </c>
      <c r="E10" s="50" t="s">
        <v>33</v>
      </c>
      <c r="F10" s="50" t="s">
        <v>51</v>
      </c>
      <c r="G10" s="50">
        <v>4400</v>
      </c>
      <c r="H10" s="50">
        <v>2581</v>
      </c>
      <c r="I10" s="50" t="s">
        <v>35</v>
      </c>
      <c r="K10" s="43" t="s">
        <v>269</v>
      </c>
      <c r="L10" s="44">
        <v>79342</v>
      </c>
    </row>
    <row r="11" spans="1:12">
      <c r="A11" s="50">
        <v>18010</v>
      </c>
      <c r="B11" s="50" t="s">
        <v>57</v>
      </c>
      <c r="C11" s="50" t="s">
        <v>58</v>
      </c>
      <c r="D11" s="50" t="s">
        <v>54</v>
      </c>
      <c r="E11" s="50" t="s">
        <v>33</v>
      </c>
      <c r="F11" s="50" t="s">
        <v>51</v>
      </c>
      <c r="G11" s="50">
        <v>4400</v>
      </c>
      <c r="H11" s="50">
        <v>3093</v>
      </c>
      <c r="I11" s="50" t="s">
        <v>42</v>
      </c>
    </row>
    <row r="12" spans="1:12">
      <c r="A12" s="50">
        <v>18011</v>
      </c>
      <c r="B12" s="50" t="s">
        <v>59</v>
      </c>
      <c r="C12" s="50" t="s">
        <v>60</v>
      </c>
      <c r="D12" s="50" t="s">
        <v>32</v>
      </c>
      <c r="E12" s="50" t="s">
        <v>256</v>
      </c>
      <c r="F12" s="50" t="s">
        <v>51</v>
      </c>
      <c r="G12" s="50">
        <v>4400</v>
      </c>
      <c r="H12" s="50">
        <v>4350</v>
      </c>
      <c r="I12" s="50" t="s">
        <v>39</v>
      </c>
    </row>
    <row r="13" spans="1:12">
      <c r="A13" s="50">
        <v>18012</v>
      </c>
      <c r="B13" s="50" t="s">
        <v>61</v>
      </c>
      <c r="C13" s="50" t="s">
        <v>62</v>
      </c>
      <c r="D13" s="50" t="s">
        <v>32</v>
      </c>
      <c r="E13" s="50" t="s">
        <v>33</v>
      </c>
      <c r="F13" s="50" t="s">
        <v>63</v>
      </c>
      <c r="G13" s="50">
        <v>4400</v>
      </c>
      <c r="H13" s="50">
        <v>4381</v>
      </c>
      <c r="I13" s="50" t="s">
        <v>42</v>
      </c>
    </row>
    <row r="14" spans="1:12">
      <c r="A14" s="50">
        <v>18013</v>
      </c>
      <c r="B14" s="50" t="s">
        <v>64</v>
      </c>
      <c r="C14" s="50" t="s">
        <v>65</v>
      </c>
      <c r="D14" s="50" t="s">
        <v>54</v>
      </c>
      <c r="E14" s="50" t="s">
        <v>33</v>
      </c>
      <c r="F14" s="50" t="s">
        <v>63</v>
      </c>
      <c r="G14" s="50">
        <v>4400</v>
      </c>
      <c r="H14" s="50">
        <v>2379</v>
      </c>
      <c r="I14" s="50" t="s">
        <v>35</v>
      </c>
    </row>
    <row r="15" spans="1:12">
      <c r="A15" s="50">
        <v>18014</v>
      </c>
      <c r="B15" s="50" t="s">
        <v>66</v>
      </c>
      <c r="C15" s="50" t="s">
        <v>67</v>
      </c>
      <c r="D15" s="50" t="s">
        <v>54</v>
      </c>
      <c r="E15" s="50" t="s">
        <v>256</v>
      </c>
      <c r="F15" s="50" t="s">
        <v>63</v>
      </c>
      <c r="G15" s="50">
        <v>4400</v>
      </c>
      <c r="H15" s="50">
        <v>3764</v>
      </c>
      <c r="I15" s="50" t="s">
        <v>42</v>
      </c>
    </row>
    <row r="16" spans="1:12">
      <c r="A16" s="50">
        <v>18015</v>
      </c>
      <c r="B16" s="50" t="s">
        <v>68</v>
      </c>
      <c r="C16" s="50" t="s">
        <v>69</v>
      </c>
      <c r="D16" s="50" t="s">
        <v>54</v>
      </c>
      <c r="E16" s="50" t="s">
        <v>256</v>
      </c>
      <c r="F16" s="50" t="s">
        <v>63</v>
      </c>
      <c r="G16" s="50">
        <v>4400</v>
      </c>
      <c r="H16" s="50">
        <v>4337</v>
      </c>
      <c r="I16" s="50" t="s">
        <v>70</v>
      </c>
    </row>
    <row r="17" spans="1:9">
      <c r="A17" s="50">
        <v>18016</v>
      </c>
      <c r="B17" s="50" t="s">
        <v>71</v>
      </c>
      <c r="C17" s="50" t="s">
        <v>72</v>
      </c>
      <c r="D17" s="50" t="s">
        <v>32</v>
      </c>
      <c r="E17" s="50" t="s">
        <v>73</v>
      </c>
      <c r="F17" s="50" t="s">
        <v>74</v>
      </c>
      <c r="G17" s="50">
        <v>5500</v>
      </c>
      <c r="H17" s="50">
        <v>4744</v>
      </c>
      <c r="I17" s="50" t="s">
        <v>75</v>
      </c>
    </row>
    <row r="18" spans="1:9">
      <c r="A18" s="50">
        <v>18017</v>
      </c>
      <c r="B18" s="50" t="s">
        <v>76</v>
      </c>
      <c r="C18" s="50" t="s">
        <v>77</v>
      </c>
      <c r="D18" s="50" t="s">
        <v>54</v>
      </c>
      <c r="E18" s="50" t="s">
        <v>260</v>
      </c>
      <c r="F18" s="50" t="s">
        <v>74</v>
      </c>
      <c r="G18" s="50">
        <v>5500</v>
      </c>
      <c r="H18" s="50">
        <v>3165</v>
      </c>
      <c r="I18" s="50" t="s">
        <v>42</v>
      </c>
    </row>
    <row r="19" spans="1:9">
      <c r="A19" s="50">
        <v>18018</v>
      </c>
      <c r="B19" s="50" t="s">
        <v>78</v>
      </c>
      <c r="C19" s="50" t="s">
        <v>79</v>
      </c>
      <c r="D19" s="50" t="s">
        <v>54</v>
      </c>
      <c r="E19" s="50" t="s">
        <v>73</v>
      </c>
      <c r="F19" s="50" t="s">
        <v>74</v>
      </c>
      <c r="G19" s="50">
        <v>5500</v>
      </c>
      <c r="H19" s="50">
        <v>3674</v>
      </c>
      <c r="I19" s="50" t="s">
        <v>42</v>
      </c>
    </row>
    <row r="20" spans="1:9">
      <c r="A20" s="50">
        <v>18019</v>
      </c>
      <c r="B20" s="50" t="s">
        <v>80</v>
      </c>
      <c r="C20" s="50" t="s">
        <v>81</v>
      </c>
      <c r="D20" s="50" t="s">
        <v>32</v>
      </c>
      <c r="E20" s="50" t="s">
        <v>260</v>
      </c>
      <c r="F20" s="50" t="s">
        <v>82</v>
      </c>
      <c r="G20" s="50">
        <v>5500</v>
      </c>
      <c r="H20" s="50">
        <v>4326</v>
      </c>
      <c r="I20" s="50" t="s">
        <v>42</v>
      </c>
    </row>
    <row r="21" spans="1:9">
      <c r="A21" s="50">
        <v>18020</v>
      </c>
      <c r="B21" s="50" t="s">
        <v>83</v>
      </c>
      <c r="C21" s="50" t="s">
        <v>84</v>
      </c>
      <c r="D21" s="50" t="s">
        <v>32</v>
      </c>
      <c r="E21" s="50" t="s">
        <v>257</v>
      </c>
      <c r="F21" s="50" t="s">
        <v>85</v>
      </c>
      <c r="G21" s="50">
        <v>5500</v>
      </c>
      <c r="H21" s="50">
        <v>4938</v>
      </c>
      <c r="I21" s="50" t="s">
        <v>70</v>
      </c>
    </row>
    <row r="22" spans="1:9">
      <c r="A22" s="50">
        <v>18021</v>
      </c>
      <c r="B22" s="50" t="s">
        <v>86</v>
      </c>
      <c r="C22" s="50" t="s">
        <v>87</v>
      </c>
      <c r="D22" s="50" t="s">
        <v>32</v>
      </c>
      <c r="E22" s="50" t="s">
        <v>73</v>
      </c>
      <c r="F22" s="50" t="s">
        <v>85</v>
      </c>
      <c r="G22" s="50">
        <v>5500</v>
      </c>
      <c r="H22" s="50">
        <v>1803</v>
      </c>
      <c r="I22" s="50" t="s">
        <v>88</v>
      </c>
    </row>
    <row r="23" spans="1:9">
      <c r="A23" s="50">
        <v>18022</v>
      </c>
      <c r="B23" s="50" t="s">
        <v>89</v>
      </c>
      <c r="C23" s="50" t="s">
        <v>90</v>
      </c>
      <c r="D23" s="50" t="s">
        <v>32</v>
      </c>
      <c r="E23" s="50" t="s">
        <v>259</v>
      </c>
      <c r="F23" s="50" t="s">
        <v>85</v>
      </c>
      <c r="G23" s="50">
        <v>5500</v>
      </c>
      <c r="H23" s="50">
        <v>3373</v>
      </c>
      <c r="I23" s="50" t="s">
        <v>70</v>
      </c>
    </row>
    <row r="24" spans="1:9">
      <c r="A24" s="50">
        <v>18023</v>
      </c>
      <c r="B24" s="50" t="s">
        <v>91</v>
      </c>
      <c r="C24" s="50" t="s">
        <v>92</v>
      </c>
      <c r="D24" s="50" t="s">
        <v>32</v>
      </c>
      <c r="E24" s="50" t="s">
        <v>73</v>
      </c>
      <c r="F24" s="50" t="s">
        <v>85</v>
      </c>
      <c r="G24" s="50">
        <v>5500</v>
      </c>
      <c r="H24" s="50">
        <v>4117</v>
      </c>
      <c r="I24" s="50" t="s">
        <v>39</v>
      </c>
    </row>
    <row r="29" spans="1:9">
      <c r="A29" t="s">
        <v>268</v>
      </c>
      <c r="B29" t="s">
        <v>292</v>
      </c>
    </row>
    <row r="30" spans="1:9">
      <c r="A30" t="s">
        <v>39</v>
      </c>
      <c r="B30">
        <v>13203</v>
      </c>
    </row>
    <row r="31" spans="1:9">
      <c r="A31" t="s">
        <v>35</v>
      </c>
      <c r="B31">
        <v>6536</v>
      </c>
    </row>
    <row r="32" spans="1:9">
      <c r="A32" t="s">
        <v>75</v>
      </c>
      <c r="B32">
        <v>4744</v>
      </c>
    </row>
    <row r="33" spans="1:2">
      <c r="A33" t="s">
        <v>70</v>
      </c>
      <c r="B33">
        <v>12648</v>
      </c>
    </row>
    <row r="34" spans="1:2">
      <c r="A34" t="s">
        <v>88</v>
      </c>
      <c r="B34">
        <v>1803</v>
      </c>
    </row>
    <row r="35" spans="1:2">
      <c r="A35" t="s">
        <v>42</v>
      </c>
      <c r="B35">
        <v>40408</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CF798-37F6-4822-902D-73376B4B93F5}">
  <dimension ref="A1"/>
  <sheetViews>
    <sheetView workbookViewId="0">
      <selection sqref="A1:J926"/>
    </sheetView>
  </sheetViews>
  <sheetFormatPr defaultRowHeight="15"/>
  <cols>
    <col min="1" max="1" width="4" bestFit="1" customWidth="1"/>
    <col min="2" max="2" width="8.5703125" bestFit="1" customWidth="1"/>
    <col min="3" max="3" width="31.85546875" bestFit="1" customWidth="1"/>
    <col min="4" max="4" width="32.42578125" bestFit="1" customWidth="1"/>
    <col min="5" max="5" width="7.7109375" bestFit="1" customWidth="1"/>
    <col min="6" max="6" width="19.140625" bestFit="1" customWidth="1"/>
    <col min="7" max="7" width="15" bestFit="1" customWidth="1"/>
    <col min="9" max="9" width="11.85546875" bestFit="1" customWidth="1"/>
    <col min="10" max="10" width="16.28515625" bestFit="1" customWidth="1"/>
  </cols>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1C2EE-5192-48E4-87A2-9195B79145A4}">
  <dimension ref="A29:M33"/>
  <sheetViews>
    <sheetView workbookViewId="0">
      <selection activeCell="A6" sqref="A6"/>
    </sheetView>
  </sheetViews>
  <sheetFormatPr defaultRowHeight="15"/>
  <sheetData>
    <row r="29" spans="1:13">
      <c r="A29">
        <v>1</v>
      </c>
      <c r="B29">
        <f ca="1">RANDBETWEEN(45,100)</f>
        <v>61</v>
      </c>
    </row>
    <row r="30" spans="1:13">
      <c r="A30">
        <v>2</v>
      </c>
      <c r="B30">
        <f t="shared" ref="B30:B33" ca="1" si="0">RANDBETWEEN(45,100)</f>
        <v>91</v>
      </c>
    </row>
    <row r="31" spans="1:13">
      <c r="A31">
        <v>3</v>
      </c>
      <c r="B31">
        <f t="shared" ca="1" si="0"/>
        <v>70</v>
      </c>
      <c r="L31" t="s">
        <v>264</v>
      </c>
      <c r="M31" t="s">
        <v>265</v>
      </c>
    </row>
    <row r="32" spans="1:13">
      <c r="A32">
        <v>4</v>
      </c>
      <c r="B32">
        <f t="shared" ca="1" si="0"/>
        <v>68</v>
      </c>
      <c r="L32" t="s">
        <v>266</v>
      </c>
      <c r="M32" t="s">
        <v>267</v>
      </c>
    </row>
    <row r="33" spans="1:2">
      <c r="A33">
        <v>5</v>
      </c>
      <c r="B33">
        <f t="shared" ca="1" si="0"/>
        <v>87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6C0CA-35B1-40BE-B2EE-4F8D97DEBA99}">
  <dimension ref="A1:J24"/>
  <sheetViews>
    <sheetView topLeftCell="G1" workbookViewId="0">
      <selection activeCell="L12" sqref="L12"/>
    </sheetView>
  </sheetViews>
  <sheetFormatPr defaultRowHeight="15"/>
  <cols>
    <col min="3" max="3" width="21.140625" bestFit="1" customWidth="1"/>
    <col min="4" max="4" width="23.7109375" bestFit="1" customWidth="1"/>
    <col min="5" max="5" width="7.7109375" bestFit="1" customWidth="1"/>
    <col min="6" max="6" width="16.7109375" customWidth="1"/>
    <col min="7" max="7" width="15" bestFit="1" customWidth="1"/>
    <col min="9" max="9" width="11.85546875" bestFit="1" customWidth="1"/>
    <col min="10" max="10" width="15.85546875" bestFit="1" customWidth="1"/>
  </cols>
  <sheetData>
    <row r="1" spans="1:10">
      <c r="A1" s="6" t="s">
        <v>21</v>
      </c>
      <c r="B1" s="6" t="s">
        <v>22</v>
      </c>
      <c r="C1" s="6" t="s">
        <v>23</v>
      </c>
      <c r="D1" s="6" t="s">
        <v>24</v>
      </c>
      <c r="E1" s="6" t="s">
        <v>25</v>
      </c>
      <c r="F1" s="6" t="s">
        <v>15</v>
      </c>
      <c r="G1" s="6" t="s">
        <v>26</v>
      </c>
      <c r="H1" s="6" t="s">
        <v>27</v>
      </c>
      <c r="I1" s="6" t="s">
        <v>28</v>
      </c>
      <c r="J1" s="6" t="s">
        <v>29</v>
      </c>
    </row>
    <row r="2" spans="1:10">
      <c r="A2">
        <v>1</v>
      </c>
      <c r="B2">
        <v>18001</v>
      </c>
      <c r="C2" t="s">
        <v>30</v>
      </c>
      <c r="D2" t="s">
        <v>31</v>
      </c>
      <c r="E2" t="s">
        <v>32</v>
      </c>
      <c r="F2" t="s">
        <v>33</v>
      </c>
      <c r="G2" t="s">
        <v>34</v>
      </c>
      <c r="H2">
        <v>4400</v>
      </c>
      <c r="I2">
        <v>4223</v>
      </c>
      <c r="J2" t="s">
        <v>35</v>
      </c>
    </row>
    <row r="3" spans="1:10">
      <c r="A3">
        <v>2</v>
      </c>
      <c r="B3">
        <v>18002</v>
      </c>
      <c r="C3" t="s">
        <v>36</v>
      </c>
      <c r="D3" t="s">
        <v>37</v>
      </c>
      <c r="E3" t="s">
        <v>32</v>
      </c>
      <c r="F3" t="s">
        <v>33</v>
      </c>
      <c r="G3" t="s">
        <v>38</v>
      </c>
      <c r="H3">
        <v>4400</v>
      </c>
      <c r="I3" s="57">
        <v>4400</v>
      </c>
      <c r="J3" t="s">
        <v>39</v>
      </c>
    </row>
    <row r="4" spans="1:10">
      <c r="A4">
        <v>3</v>
      </c>
      <c r="B4">
        <v>18003</v>
      </c>
      <c r="C4" t="s">
        <v>40</v>
      </c>
      <c r="D4" t="s">
        <v>41</v>
      </c>
      <c r="E4" t="s">
        <v>32</v>
      </c>
      <c r="F4" t="s">
        <v>33</v>
      </c>
      <c r="G4" t="s">
        <v>38</v>
      </c>
      <c r="H4">
        <v>4400</v>
      </c>
      <c r="I4" s="57">
        <v>3959</v>
      </c>
      <c r="J4" t="s">
        <v>42</v>
      </c>
    </row>
    <row r="5" spans="1:10">
      <c r="A5">
        <v>4</v>
      </c>
      <c r="B5">
        <v>18004</v>
      </c>
      <c r="C5" t="s">
        <v>43</v>
      </c>
      <c r="D5" t="s">
        <v>44</v>
      </c>
      <c r="E5" t="s">
        <v>32</v>
      </c>
      <c r="F5" t="s">
        <v>33</v>
      </c>
      <c r="G5" t="s">
        <v>38</v>
      </c>
      <c r="H5">
        <v>4400</v>
      </c>
      <c r="I5" s="57">
        <v>4118</v>
      </c>
      <c r="J5" t="s">
        <v>42</v>
      </c>
    </row>
    <row r="6" spans="1:10">
      <c r="A6">
        <v>5</v>
      </c>
      <c r="B6">
        <v>18005</v>
      </c>
      <c r="C6" t="s">
        <v>45</v>
      </c>
      <c r="D6" t="s">
        <v>46</v>
      </c>
      <c r="E6" t="s">
        <v>32</v>
      </c>
      <c r="F6" t="s">
        <v>33</v>
      </c>
      <c r="G6" t="s">
        <v>38</v>
      </c>
      <c r="H6">
        <v>4400</v>
      </c>
      <c r="I6" s="57">
        <v>4400</v>
      </c>
      <c r="J6" t="s">
        <v>42</v>
      </c>
    </row>
    <row r="7" spans="1:10">
      <c r="A7">
        <v>6</v>
      </c>
      <c r="B7">
        <v>18006</v>
      </c>
      <c r="C7" t="s">
        <v>47</v>
      </c>
      <c r="D7" t="s">
        <v>48</v>
      </c>
      <c r="E7" t="s">
        <v>32</v>
      </c>
      <c r="F7" t="s">
        <v>33</v>
      </c>
      <c r="G7" t="s">
        <v>38</v>
      </c>
      <c r="H7">
        <v>4400</v>
      </c>
      <c r="I7" s="57">
        <v>3448</v>
      </c>
      <c r="J7" t="s">
        <v>42</v>
      </c>
    </row>
    <row r="8" spans="1:10">
      <c r="A8">
        <v>7</v>
      </c>
      <c r="B8">
        <v>18007</v>
      </c>
      <c r="C8" t="s">
        <v>49</v>
      </c>
      <c r="D8" t="s">
        <v>50</v>
      </c>
      <c r="E8" t="s">
        <v>32</v>
      </c>
      <c r="F8" t="s">
        <v>33</v>
      </c>
      <c r="G8" t="s">
        <v>51</v>
      </c>
      <c r="H8">
        <v>4400</v>
      </c>
      <c r="I8" s="57">
        <v>4400</v>
      </c>
      <c r="J8" t="s">
        <v>42</v>
      </c>
    </row>
    <row r="9" spans="1:10">
      <c r="A9">
        <v>8</v>
      </c>
      <c r="B9">
        <v>18008</v>
      </c>
      <c r="C9" t="s">
        <v>52</v>
      </c>
      <c r="D9" t="s">
        <v>53</v>
      </c>
      <c r="E9" t="s">
        <v>54</v>
      </c>
      <c r="F9" t="s">
        <v>33</v>
      </c>
      <c r="G9" t="s">
        <v>51</v>
      </c>
      <c r="H9">
        <v>4400</v>
      </c>
      <c r="I9" s="57">
        <v>4190</v>
      </c>
      <c r="J9" t="s">
        <v>42</v>
      </c>
    </row>
    <row r="10" spans="1:10">
      <c r="A10">
        <v>9</v>
      </c>
      <c r="B10">
        <v>18009</v>
      </c>
      <c r="C10" t="s">
        <v>55</v>
      </c>
      <c r="D10" t="s">
        <v>56</v>
      </c>
      <c r="E10" t="s">
        <v>32</v>
      </c>
      <c r="F10" t="s">
        <v>33</v>
      </c>
      <c r="G10" t="s">
        <v>51</v>
      </c>
      <c r="H10">
        <v>4400</v>
      </c>
      <c r="I10" s="57">
        <v>3078</v>
      </c>
      <c r="J10" t="s">
        <v>35</v>
      </c>
    </row>
    <row r="11" spans="1:10">
      <c r="A11">
        <v>10</v>
      </c>
      <c r="B11">
        <v>18010</v>
      </c>
      <c r="C11" t="s">
        <v>57</v>
      </c>
      <c r="D11" t="s">
        <v>58</v>
      </c>
      <c r="E11" t="s">
        <v>54</v>
      </c>
      <c r="F11" t="s">
        <v>33</v>
      </c>
      <c r="G11" t="s">
        <v>51</v>
      </c>
      <c r="H11">
        <v>4400</v>
      </c>
      <c r="I11" s="57">
        <v>3914</v>
      </c>
      <c r="J11" t="s">
        <v>42</v>
      </c>
    </row>
    <row r="12" spans="1:10">
      <c r="A12">
        <v>11</v>
      </c>
      <c r="B12">
        <v>18011</v>
      </c>
      <c r="C12" t="s">
        <v>59</v>
      </c>
      <c r="D12" t="s">
        <v>60</v>
      </c>
      <c r="E12" t="s">
        <v>32</v>
      </c>
      <c r="F12" t="s">
        <v>33</v>
      </c>
      <c r="G12" t="s">
        <v>51</v>
      </c>
      <c r="H12">
        <v>4400</v>
      </c>
      <c r="I12" s="57">
        <v>4400</v>
      </c>
      <c r="J12" t="s">
        <v>39</v>
      </c>
    </row>
    <row r="13" spans="1:10">
      <c r="A13">
        <v>12</v>
      </c>
      <c r="B13">
        <v>18012</v>
      </c>
      <c r="C13" t="s">
        <v>61</v>
      </c>
      <c r="D13" t="s">
        <v>62</v>
      </c>
      <c r="E13" t="s">
        <v>32</v>
      </c>
      <c r="F13" t="s">
        <v>33</v>
      </c>
      <c r="G13" t="s">
        <v>63</v>
      </c>
      <c r="H13">
        <v>4400</v>
      </c>
      <c r="I13" s="57">
        <v>4165</v>
      </c>
      <c r="J13" t="s">
        <v>42</v>
      </c>
    </row>
    <row r="14" spans="1:10">
      <c r="A14">
        <v>13</v>
      </c>
      <c r="B14">
        <v>18013</v>
      </c>
      <c r="C14" t="s">
        <v>64</v>
      </c>
      <c r="D14" t="s">
        <v>65</v>
      </c>
      <c r="E14" t="s">
        <v>54</v>
      </c>
      <c r="F14" t="s">
        <v>33</v>
      </c>
      <c r="G14" t="s">
        <v>63</v>
      </c>
      <c r="H14">
        <v>4400</v>
      </c>
      <c r="I14" s="57">
        <v>4400</v>
      </c>
      <c r="J14" t="s">
        <v>35</v>
      </c>
    </row>
    <row r="15" spans="1:10">
      <c r="A15">
        <v>14</v>
      </c>
      <c r="B15">
        <v>18014</v>
      </c>
      <c r="C15" t="s">
        <v>66</v>
      </c>
      <c r="D15" t="s">
        <v>67</v>
      </c>
      <c r="E15" t="s">
        <v>54</v>
      </c>
      <c r="F15" t="s">
        <v>33</v>
      </c>
      <c r="G15" t="s">
        <v>63</v>
      </c>
      <c r="H15">
        <v>4400</v>
      </c>
      <c r="I15" s="57">
        <v>4400</v>
      </c>
      <c r="J15" t="s">
        <v>42</v>
      </c>
    </row>
    <row r="16" spans="1:10">
      <c r="A16">
        <v>15</v>
      </c>
      <c r="B16">
        <v>18015</v>
      </c>
      <c r="C16" t="s">
        <v>68</v>
      </c>
      <c r="D16" t="s">
        <v>69</v>
      </c>
      <c r="E16" t="s">
        <v>54</v>
      </c>
      <c r="F16" t="s">
        <v>33</v>
      </c>
      <c r="G16" t="s">
        <v>63</v>
      </c>
      <c r="H16">
        <v>4400</v>
      </c>
      <c r="I16" s="57">
        <v>3570</v>
      </c>
      <c r="J16" t="s">
        <v>70</v>
      </c>
    </row>
    <row r="17" spans="1:10">
      <c r="A17">
        <v>16</v>
      </c>
      <c r="B17">
        <v>18016</v>
      </c>
      <c r="C17" t="s">
        <v>71</v>
      </c>
      <c r="D17" t="s">
        <v>72</v>
      </c>
      <c r="E17" t="s">
        <v>32</v>
      </c>
      <c r="F17" t="s">
        <v>73</v>
      </c>
      <c r="G17" t="s">
        <v>74</v>
      </c>
      <c r="H17">
        <v>5500</v>
      </c>
      <c r="I17">
        <v>5290</v>
      </c>
      <c r="J17" t="s">
        <v>75</v>
      </c>
    </row>
    <row r="18" spans="1:10">
      <c r="A18">
        <v>17</v>
      </c>
      <c r="B18">
        <v>18017</v>
      </c>
      <c r="C18" t="s">
        <v>76</v>
      </c>
      <c r="D18" t="s">
        <v>77</v>
      </c>
      <c r="E18" t="s">
        <v>54</v>
      </c>
      <c r="F18" t="s">
        <v>73</v>
      </c>
      <c r="G18" t="s">
        <v>74</v>
      </c>
      <c r="H18">
        <v>5500</v>
      </c>
      <c r="I18" s="57">
        <v>4537</v>
      </c>
      <c r="J18" t="s">
        <v>42</v>
      </c>
    </row>
    <row r="19" spans="1:10">
      <c r="A19">
        <v>18</v>
      </c>
      <c r="B19">
        <v>18018</v>
      </c>
      <c r="C19" t="s">
        <v>78</v>
      </c>
      <c r="D19" t="s">
        <v>79</v>
      </c>
      <c r="E19" t="s">
        <v>54</v>
      </c>
      <c r="F19" t="s">
        <v>73</v>
      </c>
      <c r="G19" t="s">
        <v>74</v>
      </c>
      <c r="H19">
        <v>5500</v>
      </c>
      <c r="I19" s="57">
        <v>5500</v>
      </c>
      <c r="J19" t="s">
        <v>42</v>
      </c>
    </row>
    <row r="20" spans="1:10">
      <c r="A20">
        <v>19</v>
      </c>
      <c r="B20">
        <v>18019</v>
      </c>
      <c r="C20" t="s">
        <v>80</v>
      </c>
      <c r="D20" t="s">
        <v>81</v>
      </c>
      <c r="E20" t="s">
        <v>32</v>
      </c>
      <c r="F20" t="s">
        <v>73</v>
      </c>
      <c r="G20" t="s">
        <v>82</v>
      </c>
      <c r="H20">
        <v>5500</v>
      </c>
      <c r="I20" s="57">
        <v>4061</v>
      </c>
      <c r="J20" t="s">
        <v>42</v>
      </c>
    </row>
    <row r="21" spans="1:10">
      <c r="A21">
        <v>20</v>
      </c>
      <c r="B21">
        <v>18020</v>
      </c>
      <c r="C21" t="s">
        <v>83</v>
      </c>
      <c r="D21" t="s">
        <v>84</v>
      </c>
      <c r="E21" t="s">
        <v>32</v>
      </c>
      <c r="F21" t="s">
        <v>73</v>
      </c>
      <c r="G21" t="s">
        <v>85</v>
      </c>
      <c r="H21">
        <v>5500</v>
      </c>
      <c r="I21" s="57">
        <v>5390</v>
      </c>
      <c r="J21" t="s">
        <v>70</v>
      </c>
    </row>
    <row r="22" spans="1:10">
      <c r="A22">
        <v>21</v>
      </c>
      <c r="B22">
        <v>18021</v>
      </c>
      <c r="C22" t="s">
        <v>86</v>
      </c>
      <c r="D22" t="s">
        <v>87</v>
      </c>
      <c r="E22" t="s">
        <v>32</v>
      </c>
      <c r="F22" t="s">
        <v>73</v>
      </c>
      <c r="G22" t="s">
        <v>85</v>
      </c>
      <c r="H22">
        <v>5500</v>
      </c>
      <c r="I22" s="57">
        <v>5500</v>
      </c>
      <c r="J22" t="s">
        <v>88</v>
      </c>
    </row>
    <row r="23" spans="1:10">
      <c r="A23">
        <v>22</v>
      </c>
      <c r="B23">
        <v>18022</v>
      </c>
      <c r="C23" t="s">
        <v>89</v>
      </c>
      <c r="D23" t="s">
        <v>90</v>
      </c>
      <c r="E23" t="s">
        <v>32</v>
      </c>
      <c r="F23" t="s">
        <v>73</v>
      </c>
      <c r="G23" t="s">
        <v>85</v>
      </c>
      <c r="H23">
        <v>5500</v>
      </c>
      <c r="I23" s="57">
        <v>4794</v>
      </c>
      <c r="J23" t="s">
        <v>70</v>
      </c>
    </row>
    <row r="24" spans="1:10">
      <c r="A24">
        <v>23</v>
      </c>
      <c r="B24">
        <v>18023</v>
      </c>
      <c r="C24" t="s">
        <v>91</v>
      </c>
      <c r="D24" t="s">
        <v>92</v>
      </c>
      <c r="E24" t="s">
        <v>32</v>
      </c>
      <c r="F24" t="s">
        <v>73</v>
      </c>
      <c r="G24" t="s">
        <v>85</v>
      </c>
      <c r="H24">
        <v>5500</v>
      </c>
      <c r="I24" s="57">
        <v>5500</v>
      </c>
      <c r="J24" t="s">
        <v>39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20AB8-7A53-41DF-BE36-98BF76183F4F}">
  <dimension ref="A1"/>
  <sheetViews>
    <sheetView topLeftCell="D1" workbookViewId="0"/>
  </sheetViews>
  <sheetFormatPr defaultRowHeight="1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608C5-A545-4846-AC18-C6D0B5FB8F51}">
  <dimension ref="A1:C12"/>
  <sheetViews>
    <sheetView workbookViewId="0">
      <selection activeCell="B1" sqref="B1"/>
    </sheetView>
  </sheetViews>
  <sheetFormatPr defaultRowHeight="15"/>
  <cols>
    <col min="1" max="1" width="25" bestFit="1" customWidth="1"/>
    <col min="2" max="2" width="19" bestFit="1" customWidth="1"/>
    <col min="3" max="4" width="16" bestFit="1" customWidth="1"/>
  </cols>
  <sheetData>
    <row r="1" spans="1:3">
      <c r="A1" s="42" t="s">
        <v>15</v>
      </c>
      <c r="B1" s="57" t="s" vm="1">
        <v>73</v>
      </c>
    </row>
    <row r="3" spans="1:3">
      <c r="A3" s="42" t="s">
        <v>22</v>
      </c>
      <c r="B3" s="42" t="s">
        <v>23</v>
      </c>
      <c r="C3" t="s">
        <v>1626</v>
      </c>
    </row>
    <row r="4" spans="1:3">
      <c r="A4" s="57">
        <v>18016</v>
      </c>
      <c r="B4" s="57" t="s">
        <v>71</v>
      </c>
      <c r="C4" s="44">
        <v>5500</v>
      </c>
    </row>
    <row r="5" spans="1:3">
      <c r="A5" s="57">
        <v>18017</v>
      </c>
      <c r="B5" s="57" t="s">
        <v>76</v>
      </c>
      <c r="C5" s="44">
        <v>5500</v>
      </c>
    </row>
    <row r="6" spans="1:3">
      <c r="A6" s="57">
        <v>18018</v>
      </c>
      <c r="B6" s="57" t="s">
        <v>78</v>
      </c>
      <c r="C6" s="44">
        <v>5500</v>
      </c>
    </row>
    <row r="7" spans="1:3">
      <c r="A7" s="57">
        <v>18019</v>
      </c>
      <c r="B7" s="57" t="s">
        <v>80</v>
      </c>
      <c r="C7" s="44">
        <v>5500</v>
      </c>
    </row>
    <row r="8" spans="1:3">
      <c r="A8" s="57">
        <v>18020</v>
      </c>
      <c r="B8" s="57" t="s">
        <v>83</v>
      </c>
      <c r="C8" s="44">
        <v>5500</v>
      </c>
    </row>
    <row r="9" spans="1:3">
      <c r="A9" s="57">
        <v>18021</v>
      </c>
      <c r="B9" s="57" t="s">
        <v>86</v>
      </c>
      <c r="C9" s="44">
        <v>5500</v>
      </c>
    </row>
    <row r="10" spans="1:3">
      <c r="A10" s="57">
        <v>18022</v>
      </c>
      <c r="B10" s="57" t="s">
        <v>89</v>
      </c>
      <c r="C10" s="44">
        <v>5500</v>
      </c>
    </row>
    <row r="11" spans="1:3">
      <c r="A11" s="57">
        <v>18023</v>
      </c>
      <c r="B11" s="57" t="s">
        <v>91</v>
      </c>
      <c r="C11" s="44">
        <v>5500</v>
      </c>
    </row>
    <row r="12" spans="1:3">
      <c r="A12" s="57" t="s">
        <v>269</v>
      </c>
      <c r="C12" s="44">
        <v>44000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8C95F-43F1-4AF2-A546-BDF68E76C179}">
  <dimension ref="A1:G24"/>
  <sheetViews>
    <sheetView topLeftCell="O12" workbookViewId="0">
      <selection activeCell="D5" sqref="D5"/>
    </sheetView>
  </sheetViews>
  <sheetFormatPr defaultRowHeight="15"/>
  <cols>
    <col min="2" max="2" width="12.5703125" bestFit="1" customWidth="1"/>
    <col min="3" max="3" width="21.140625" bestFit="1" customWidth="1"/>
    <col min="4" max="4" width="23.7109375" bestFit="1" customWidth="1"/>
    <col min="5" max="5" width="12.28515625" bestFit="1" customWidth="1"/>
    <col min="6" max="6" width="19.5703125" style="57" bestFit="1" customWidth="1"/>
    <col min="7" max="7" width="15.85546875" bestFit="1" customWidth="1"/>
  </cols>
  <sheetData>
    <row r="1" spans="1:7">
      <c r="A1" s="41" t="s">
        <v>21</v>
      </c>
      <c r="B1" s="41" t="s">
        <v>22</v>
      </c>
      <c r="C1" s="41" t="s">
        <v>23</v>
      </c>
      <c r="D1" s="41" t="s">
        <v>24</v>
      </c>
      <c r="E1" s="41" t="s">
        <v>25</v>
      </c>
      <c r="F1" s="41" t="s">
        <v>26</v>
      </c>
      <c r="G1" s="41" t="s">
        <v>29</v>
      </c>
    </row>
    <row r="2" spans="1:7">
      <c r="A2" s="57">
        <v>1</v>
      </c>
      <c r="B2" s="57">
        <v>18001</v>
      </c>
      <c r="C2" s="57" t="s">
        <v>30</v>
      </c>
      <c r="D2" s="57" t="s">
        <v>31</v>
      </c>
      <c r="E2" s="57" t="s">
        <v>32</v>
      </c>
      <c r="F2" s="57" t="s">
        <v>34</v>
      </c>
      <c r="G2" s="57" t="s">
        <v>35</v>
      </c>
    </row>
    <row r="3" spans="1:7">
      <c r="A3" s="57">
        <v>2</v>
      </c>
      <c r="B3" s="57">
        <v>18002</v>
      </c>
      <c r="C3" s="57" t="s">
        <v>36</v>
      </c>
      <c r="D3" s="57" t="s">
        <v>37</v>
      </c>
      <c r="E3" s="57" t="s">
        <v>32</v>
      </c>
      <c r="F3" s="57" t="s">
        <v>38</v>
      </c>
      <c r="G3" s="57" t="s">
        <v>39</v>
      </c>
    </row>
    <row r="4" spans="1:7">
      <c r="A4" s="57">
        <v>3</v>
      </c>
      <c r="B4" s="57">
        <v>18003</v>
      </c>
      <c r="C4" s="57" t="s">
        <v>40</v>
      </c>
      <c r="D4" s="57" t="s">
        <v>41</v>
      </c>
      <c r="E4" s="57" t="s">
        <v>32</v>
      </c>
      <c r="F4" s="57" t="s">
        <v>38</v>
      </c>
      <c r="G4" s="57" t="s">
        <v>42</v>
      </c>
    </row>
    <row r="5" spans="1:7">
      <c r="A5" s="57">
        <v>4</v>
      </c>
      <c r="B5" s="57">
        <v>18004</v>
      </c>
      <c r="C5" s="57" t="s">
        <v>43</v>
      </c>
      <c r="D5" s="57" t="s">
        <v>44</v>
      </c>
      <c r="E5" s="57" t="s">
        <v>32</v>
      </c>
      <c r="F5" s="57" t="s">
        <v>38</v>
      </c>
      <c r="G5" s="57" t="s">
        <v>42</v>
      </c>
    </row>
    <row r="6" spans="1:7">
      <c r="A6" s="57">
        <v>5</v>
      </c>
      <c r="B6" s="57">
        <v>18005</v>
      </c>
      <c r="C6" s="57" t="s">
        <v>45</v>
      </c>
      <c r="D6" s="57" t="s">
        <v>46</v>
      </c>
      <c r="E6" s="57" t="s">
        <v>32</v>
      </c>
      <c r="F6" s="57" t="s">
        <v>38</v>
      </c>
      <c r="G6" s="57" t="s">
        <v>42</v>
      </c>
    </row>
    <row r="7" spans="1:7">
      <c r="A7" s="57">
        <v>6</v>
      </c>
      <c r="B7" s="57">
        <v>18006</v>
      </c>
      <c r="C7" s="57" t="s">
        <v>47</v>
      </c>
      <c r="D7" s="57" t="s">
        <v>48</v>
      </c>
      <c r="E7" s="57" t="s">
        <v>32</v>
      </c>
      <c r="F7" s="57" t="s">
        <v>38</v>
      </c>
      <c r="G7" s="57" t="s">
        <v>42</v>
      </c>
    </row>
    <row r="8" spans="1:7">
      <c r="A8" s="57">
        <v>7</v>
      </c>
      <c r="B8" s="57">
        <v>18007</v>
      </c>
      <c r="C8" s="57" t="s">
        <v>49</v>
      </c>
      <c r="D8" s="57" t="s">
        <v>50</v>
      </c>
      <c r="E8" s="57" t="s">
        <v>32</v>
      </c>
      <c r="F8" s="57" t="s">
        <v>51</v>
      </c>
      <c r="G8" s="57" t="s">
        <v>42</v>
      </c>
    </row>
    <row r="9" spans="1:7">
      <c r="A9" s="57">
        <v>8</v>
      </c>
      <c r="B9" s="57">
        <v>18008</v>
      </c>
      <c r="C9" s="57" t="s">
        <v>52</v>
      </c>
      <c r="D9" s="57" t="s">
        <v>53</v>
      </c>
      <c r="E9" s="57" t="s">
        <v>54</v>
      </c>
      <c r="F9" s="57" t="s">
        <v>51</v>
      </c>
      <c r="G9" s="57" t="s">
        <v>42</v>
      </c>
    </row>
    <row r="10" spans="1:7">
      <c r="A10" s="57">
        <v>9</v>
      </c>
      <c r="B10" s="57">
        <v>18009</v>
      </c>
      <c r="C10" s="57" t="s">
        <v>55</v>
      </c>
      <c r="D10" s="57" t="s">
        <v>56</v>
      </c>
      <c r="E10" s="57" t="s">
        <v>32</v>
      </c>
      <c r="F10" s="57" t="s">
        <v>51</v>
      </c>
      <c r="G10" s="57" t="s">
        <v>35</v>
      </c>
    </row>
    <row r="11" spans="1:7">
      <c r="A11" s="57">
        <v>10</v>
      </c>
      <c r="B11" s="57">
        <v>18010</v>
      </c>
      <c r="C11" s="57" t="s">
        <v>57</v>
      </c>
      <c r="D11" s="57" t="s">
        <v>58</v>
      </c>
      <c r="E11" s="57" t="s">
        <v>54</v>
      </c>
      <c r="F11" s="57" t="s">
        <v>51</v>
      </c>
      <c r="G11" s="57" t="s">
        <v>42</v>
      </c>
    </row>
    <row r="12" spans="1:7">
      <c r="A12" s="57">
        <v>11</v>
      </c>
      <c r="B12" s="57">
        <v>18011</v>
      </c>
      <c r="C12" s="57" t="s">
        <v>59</v>
      </c>
      <c r="D12" s="57" t="s">
        <v>60</v>
      </c>
      <c r="E12" s="57" t="s">
        <v>32</v>
      </c>
      <c r="F12" s="57" t="s">
        <v>51</v>
      </c>
      <c r="G12" s="57" t="s">
        <v>39</v>
      </c>
    </row>
    <row r="13" spans="1:7">
      <c r="A13" s="57">
        <v>12</v>
      </c>
      <c r="B13" s="57">
        <v>18012</v>
      </c>
      <c r="C13" s="57" t="s">
        <v>61</v>
      </c>
      <c r="D13" s="57" t="s">
        <v>62</v>
      </c>
      <c r="E13" s="57" t="s">
        <v>32</v>
      </c>
      <c r="F13" s="57" t="s">
        <v>63</v>
      </c>
      <c r="G13" s="57" t="s">
        <v>42</v>
      </c>
    </row>
    <row r="14" spans="1:7">
      <c r="A14" s="57">
        <v>13</v>
      </c>
      <c r="B14" s="57">
        <v>18013</v>
      </c>
      <c r="C14" s="57" t="s">
        <v>64</v>
      </c>
      <c r="D14" s="57" t="s">
        <v>65</v>
      </c>
      <c r="E14" s="57" t="s">
        <v>54</v>
      </c>
      <c r="F14" s="57" t="s">
        <v>63</v>
      </c>
      <c r="G14" s="57" t="s">
        <v>35</v>
      </c>
    </row>
    <row r="15" spans="1:7">
      <c r="A15" s="57">
        <v>14</v>
      </c>
      <c r="B15" s="57">
        <v>18014</v>
      </c>
      <c r="C15" s="57" t="s">
        <v>66</v>
      </c>
      <c r="D15" s="57" t="s">
        <v>67</v>
      </c>
      <c r="E15" s="57" t="s">
        <v>54</v>
      </c>
      <c r="F15" s="57" t="s">
        <v>63</v>
      </c>
      <c r="G15" s="57" t="s">
        <v>42</v>
      </c>
    </row>
    <row r="16" spans="1:7">
      <c r="A16" s="57">
        <v>15</v>
      </c>
      <c r="B16" s="57">
        <v>18015</v>
      </c>
      <c r="C16" s="57" t="s">
        <v>68</v>
      </c>
      <c r="D16" s="57" t="s">
        <v>69</v>
      </c>
      <c r="E16" s="57" t="s">
        <v>54</v>
      </c>
      <c r="F16" s="57" t="s">
        <v>63</v>
      </c>
      <c r="G16" s="57" t="s">
        <v>70</v>
      </c>
    </row>
    <row r="17" spans="1:7">
      <c r="A17" s="57">
        <v>16</v>
      </c>
      <c r="B17" s="57">
        <v>18016</v>
      </c>
      <c r="C17" s="57" t="s">
        <v>71</v>
      </c>
      <c r="D17" s="57" t="s">
        <v>72</v>
      </c>
      <c r="E17" s="57" t="s">
        <v>32</v>
      </c>
      <c r="F17" s="57" t="s">
        <v>74</v>
      </c>
      <c r="G17" s="57" t="s">
        <v>75</v>
      </c>
    </row>
    <row r="18" spans="1:7">
      <c r="A18" s="57">
        <v>17</v>
      </c>
      <c r="B18" s="57">
        <v>18017</v>
      </c>
      <c r="C18" s="57" t="s">
        <v>76</v>
      </c>
      <c r="D18" s="57" t="s">
        <v>77</v>
      </c>
      <c r="E18" s="57" t="s">
        <v>54</v>
      </c>
      <c r="F18" s="57" t="s">
        <v>74</v>
      </c>
      <c r="G18" s="57" t="s">
        <v>42</v>
      </c>
    </row>
    <row r="19" spans="1:7">
      <c r="A19" s="57">
        <v>18</v>
      </c>
      <c r="B19" s="57">
        <v>18018</v>
      </c>
      <c r="C19" s="57" t="s">
        <v>78</v>
      </c>
      <c r="D19" s="57" t="s">
        <v>79</v>
      </c>
      <c r="E19" s="57" t="s">
        <v>54</v>
      </c>
      <c r="F19" s="57" t="s">
        <v>74</v>
      </c>
      <c r="G19" s="57" t="s">
        <v>42</v>
      </c>
    </row>
    <row r="20" spans="1:7">
      <c r="A20" s="57">
        <v>19</v>
      </c>
      <c r="B20" s="57">
        <v>18019</v>
      </c>
      <c r="C20" s="57" t="s">
        <v>80</v>
      </c>
      <c r="D20" s="57" t="s">
        <v>81</v>
      </c>
      <c r="E20" s="57" t="s">
        <v>32</v>
      </c>
      <c r="F20" s="57" t="s">
        <v>82</v>
      </c>
      <c r="G20" s="57" t="s">
        <v>42</v>
      </c>
    </row>
    <row r="21" spans="1:7">
      <c r="A21" s="57">
        <v>20</v>
      </c>
      <c r="B21" s="57">
        <v>18020</v>
      </c>
      <c r="C21" s="57" t="s">
        <v>83</v>
      </c>
      <c r="D21" s="57" t="s">
        <v>84</v>
      </c>
      <c r="E21" s="57" t="s">
        <v>32</v>
      </c>
      <c r="F21" s="57" t="s">
        <v>85</v>
      </c>
      <c r="G21" s="57" t="s">
        <v>70</v>
      </c>
    </row>
    <row r="22" spans="1:7">
      <c r="A22" s="57">
        <v>21</v>
      </c>
      <c r="B22" s="57">
        <v>18021</v>
      </c>
      <c r="C22" s="57" t="s">
        <v>86</v>
      </c>
      <c r="D22" s="57" t="s">
        <v>87</v>
      </c>
      <c r="E22" s="57" t="s">
        <v>32</v>
      </c>
      <c r="F22" s="57" t="s">
        <v>85</v>
      </c>
      <c r="G22" s="57" t="s">
        <v>88</v>
      </c>
    </row>
    <row r="23" spans="1:7">
      <c r="A23" s="57">
        <v>22</v>
      </c>
      <c r="B23" s="57">
        <v>18022</v>
      </c>
      <c r="C23" s="57" t="s">
        <v>89</v>
      </c>
      <c r="D23" s="57" t="s">
        <v>90</v>
      </c>
      <c r="E23" s="57" t="s">
        <v>32</v>
      </c>
      <c r="F23" s="57" t="s">
        <v>85</v>
      </c>
      <c r="G23" s="57" t="s">
        <v>70</v>
      </c>
    </row>
    <row r="24" spans="1:7">
      <c r="A24" s="57">
        <v>23</v>
      </c>
      <c r="B24" s="57">
        <v>18023</v>
      </c>
      <c r="C24" s="57" t="s">
        <v>91</v>
      </c>
      <c r="D24" s="57" t="s">
        <v>92</v>
      </c>
      <c r="E24" s="57" t="s">
        <v>32</v>
      </c>
      <c r="F24" s="57" t="s">
        <v>85</v>
      </c>
      <c r="G24" s="57" t="s">
        <v>39</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58914-9AC0-437B-9F95-D89EA701DEDA}">
  <dimension ref="A1:E24"/>
  <sheetViews>
    <sheetView workbookViewId="0">
      <selection activeCell="D6" sqref="D6"/>
    </sheetView>
  </sheetViews>
  <sheetFormatPr defaultRowHeight="15"/>
  <cols>
    <col min="2" max="2" width="10.140625" customWidth="1"/>
    <col min="3" max="3" width="16.7109375" bestFit="1" customWidth="1"/>
    <col min="4" max="4" width="13.7109375" bestFit="1" customWidth="1"/>
    <col min="5" max="5" width="16.42578125" bestFit="1" customWidth="1"/>
  </cols>
  <sheetData>
    <row r="1" spans="1:5">
      <c r="A1" s="41" t="s">
        <v>21</v>
      </c>
      <c r="B1" s="41" t="s">
        <v>22</v>
      </c>
      <c r="C1" s="41" t="s">
        <v>15</v>
      </c>
      <c r="D1" s="41" t="s">
        <v>27</v>
      </c>
      <c r="E1" s="41" t="s">
        <v>28</v>
      </c>
    </row>
    <row r="2" spans="1:5">
      <c r="A2" s="57">
        <v>1</v>
      </c>
      <c r="B2" s="57">
        <v>18001</v>
      </c>
      <c r="C2" s="57" t="s">
        <v>33</v>
      </c>
      <c r="D2" s="57">
        <v>4400</v>
      </c>
      <c r="E2" s="57">
        <v>4223</v>
      </c>
    </row>
    <row r="3" spans="1:5">
      <c r="A3" s="57">
        <v>2</v>
      </c>
      <c r="B3" s="57">
        <v>18002</v>
      </c>
      <c r="C3" s="57" t="s">
        <v>33</v>
      </c>
      <c r="D3" s="57">
        <v>4400</v>
      </c>
      <c r="E3" s="57">
        <v>4400</v>
      </c>
    </row>
    <row r="4" spans="1:5">
      <c r="A4" s="57">
        <v>3</v>
      </c>
      <c r="B4" s="57">
        <v>18003</v>
      </c>
      <c r="C4" s="57" t="s">
        <v>33</v>
      </c>
      <c r="D4" s="57">
        <v>4400</v>
      </c>
      <c r="E4" s="57">
        <v>3959</v>
      </c>
    </row>
    <row r="5" spans="1:5">
      <c r="A5" s="57">
        <v>4</v>
      </c>
      <c r="B5" s="57">
        <v>18004</v>
      </c>
      <c r="C5" s="57" t="s">
        <v>33</v>
      </c>
      <c r="D5" s="57">
        <v>4400</v>
      </c>
      <c r="E5" s="57">
        <v>4118</v>
      </c>
    </row>
    <row r="6" spans="1:5">
      <c r="A6" s="57">
        <v>5</v>
      </c>
      <c r="B6" s="57">
        <v>18005</v>
      </c>
      <c r="C6" s="57" t="s">
        <v>33</v>
      </c>
      <c r="D6" s="57">
        <v>4400</v>
      </c>
      <c r="E6" s="57">
        <v>4400</v>
      </c>
    </row>
    <row r="7" spans="1:5">
      <c r="A7" s="57">
        <v>6</v>
      </c>
      <c r="B7" s="57">
        <v>18006</v>
      </c>
      <c r="C7" s="57" t="s">
        <v>33</v>
      </c>
      <c r="D7" s="57">
        <v>4400</v>
      </c>
      <c r="E7" s="57">
        <v>3448</v>
      </c>
    </row>
    <row r="8" spans="1:5">
      <c r="A8" s="57">
        <v>7</v>
      </c>
      <c r="B8" s="57">
        <v>18007</v>
      </c>
      <c r="C8" s="57" t="s">
        <v>33</v>
      </c>
      <c r="D8" s="57">
        <v>4400</v>
      </c>
      <c r="E8" s="57">
        <v>4400</v>
      </c>
    </row>
    <row r="9" spans="1:5">
      <c r="A9" s="57">
        <v>8</v>
      </c>
      <c r="B9" s="57">
        <v>18008</v>
      </c>
      <c r="C9" s="57" t="s">
        <v>33</v>
      </c>
      <c r="D9" s="57">
        <v>4400</v>
      </c>
      <c r="E9" s="57">
        <v>4190</v>
      </c>
    </row>
    <row r="10" spans="1:5">
      <c r="A10" s="57">
        <v>9</v>
      </c>
      <c r="B10" s="57">
        <v>18009</v>
      </c>
      <c r="C10" s="57" t="s">
        <v>33</v>
      </c>
      <c r="D10" s="57">
        <v>4400</v>
      </c>
      <c r="E10" s="57">
        <v>3078</v>
      </c>
    </row>
    <row r="11" spans="1:5">
      <c r="A11" s="57">
        <v>10</v>
      </c>
      <c r="B11" s="57">
        <v>18010</v>
      </c>
      <c r="C11" s="57" t="s">
        <v>33</v>
      </c>
      <c r="D11" s="57">
        <v>4400</v>
      </c>
      <c r="E11" s="57">
        <v>3914</v>
      </c>
    </row>
    <row r="12" spans="1:5">
      <c r="A12" s="57">
        <v>11</v>
      </c>
      <c r="B12" s="57">
        <v>18011</v>
      </c>
      <c r="C12" s="57" t="s">
        <v>33</v>
      </c>
      <c r="D12" s="57">
        <v>4400</v>
      </c>
      <c r="E12" s="57">
        <v>4400</v>
      </c>
    </row>
    <row r="13" spans="1:5">
      <c r="A13" s="57">
        <v>12</v>
      </c>
      <c r="B13" s="57">
        <v>18012</v>
      </c>
      <c r="C13" s="57" t="s">
        <v>33</v>
      </c>
      <c r="D13" s="57">
        <v>4400</v>
      </c>
      <c r="E13" s="57">
        <v>4165</v>
      </c>
    </row>
    <row r="14" spans="1:5">
      <c r="A14" s="57">
        <v>13</v>
      </c>
      <c r="B14" s="57">
        <v>18013</v>
      </c>
      <c r="C14" s="57" t="s">
        <v>33</v>
      </c>
      <c r="D14" s="57">
        <v>4400</v>
      </c>
      <c r="E14" s="57">
        <v>4400</v>
      </c>
    </row>
    <row r="15" spans="1:5">
      <c r="A15" s="57">
        <v>14</v>
      </c>
      <c r="B15" s="57">
        <v>18014</v>
      </c>
      <c r="C15" s="57" t="s">
        <v>33</v>
      </c>
      <c r="D15" s="57">
        <v>4400</v>
      </c>
      <c r="E15" s="57">
        <v>4400</v>
      </c>
    </row>
    <row r="16" spans="1:5">
      <c r="A16" s="57">
        <v>15</v>
      </c>
      <c r="B16" s="57">
        <v>18015</v>
      </c>
      <c r="C16" s="57" t="s">
        <v>33</v>
      </c>
      <c r="D16" s="57">
        <v>4400</v>
      </c>
      <c r="E16" s="57">
        <v>3570</v>
      </c>
    </row>
    <row r="17" spans="1:5">
      <c r="A17" s="57">
        <v>16</v>
      </c>
      <c r="B17" s="57">
        <v>18016</v>
      </c>
      <c r="C17" s="57" t="s">
        <v>73</v>
      </c>
      <c r="D17" s="57">
        <v>5500</v>
      </c>
      <c r="E17" s="57">
        <v>5290</v>
      </c>
    </row>
    <row r="18" spans="1:5">
      <c r="A18" s="57">
        <v>17</v>
      </c>
      <c r="B18" s="57">
        <v>18017</v>
      </c>
      <c r="C18" s="57" t="s">
        <v>73</v>
      </c>
      <c r="D18" s="57">
        <v>5500</v>
      </c>
      <c r="E18" s="57">
        <v>4537</v>
      </c>
    </row>
    <row r="19" spans="1:5">
      <c r="A19" s="57">
        <v>18</v>
      </c>
      <c r="B19" s="57">
        <v>18018</v>
      </c>
      <c r="C19" s="57" t="s">
        <v>73</v>
      </c>
      <c r="D19" s="57">
        <v>5500</v>
      </c>
      <c r="E19" s="57">
        <v>5500</v>
      </c>
    </row>
    <row r="20" spans="1:5">
      <c r="A20" s="57">
        <v>19</v>
      </c>
      <c r="B20" s="57">
        <v>18019</v>
      </c>
      <c r="C20" s="57" t="s">
        <v>73</v>
      </c>
      <c r="D20" s="57">
        <v>5500</v>
      </c>
      <c r="E20" s="57">
        <v>4061</v>
      </c>
    </row>
    <row r="21" spans="1:5">
      <c r="A21" s="57">
        <v>20</v>
      </c>
      <c r="B21" s="57">
        <v>18020</v>
      </c>
      <c r="C21" s="57" t="s">
        <v>73</v>
      </c>
      <c r="D21" s="57">
        <v>5500</v>
      </c>
      <c r="E21" s="57">
        <v>5390</v>
      </c>
    </row>
    <row r="22" spans="1:5">
      <c r="A22" s="57">
        <v>21</v>
      </c>
      <c r="B22" s="57">
        <v>18021</v>
      </c>
      <c r="C22" s="57" t="s">
        <v>73</v>
      </c>
      <c r="D22" s="57">
        <v>5500</v>
      </c>
      <c r="E22" s="57">
        <v>5500</v>
      </c>
    </row>
    <row r="23" spans="1:5">
      <c r="A23" s="57">
        <v>22</v>
      </c>
      <c r="B23" s="57">
        <v>18022</v>
      </c>
      <c r="C23" s="57" t="s">
        <v>73</v>
      </c>
      <c r="D23" s="57">
        <v>5500</v>
      </c>
      <c r="E23" s="57">
        <v>4794</v>
      </c>
    </row>
    <row r="24" spans="1:5">
      <c r="A24" s="57">
        <v>23</v>
      </c>
      <c r="B24" s="57">
        <v>18023</v>
      </c>
      <c r="C24" s="57" t="s">
        <v>73</v>
      </c>
      <c r="D24" s="57">
        <v>5500</v>
      </c>
      <c r="E24" s="57">
        <v>5500</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EAE4E-4B45-4E0B-A6C1-E51D92546E19}">
  <dimension ref="A1:J926"/>
  <sheetViews>
    <sheetView topLeftCell="A99" workbookViewId="0">
      <selection activeCell="K6" sqref="K6"/>
    </sheetView>
  </sheetViews>
  <sheetFormatPr defaultRowHeight="15"/>
  <cols>
    <col min="2" max="2" width="8.5703125" bestFit="1" customWidth="1"/>
    <col min="3" max="3" width="27.5703125" customWidth="1"/>
    <col min="4" max="4" width="32.42578125" bestFit="1" customWidth="1"/>
    <col min="6" max="6" width="19.140625" bestFit="1" customWidth="1"/>
    <col min="7" max="7" width="15" bestFit="1" customWidth="1"/>
    <col min="9" max="9" width="11.85546875" bestFit="1" customWidth="1"/>
    <col min="10" max="10" width="16.28515625" bestFit="1" customWidth="1"/>
  </cols>
  <sheetData>
    <row r="1" spans="1:10">
      <c r="A1" s="58" t="s">
        <v>21</v>
      </c>
      <c r="B1" s="61" t="s">
        <v>293</v>
      </c>
      <c r="C1" s="58" t="s">
        <v>23</v>
      </c>
      <c r="D1" s="58" t="s">
        <v>24</v>
      </c>
      <c r="E1" s="58" t="s">
        <v>25</v>
      </c>
      <c r="F1" s="58" t="s">
        <v>15</v>
      </c>
      <c r="G1" s="59" t="s">
        <v>26</v>
      </c>
      <c r="H1" s="61" t="s">
        <v>27</v>
      </c>
      <c r="I1" s="61" t="s">
        <v>28</v>
      </c>
      <c r="J1" s="58" t="s">
        <v>29</v>
      </c>
    </row>
    <row r="2" spans="1:10">
      <c r="A2" s="58">
        <v>1</v>
      </c>
      <c r="B2" s="57">
        <v>18001</v>
      </c>
      <c r="C2" s="57" t="s">
        <v>30</v>
      </c>
      <c r="D2" s="57" t="s">
        <v>31</v>
      </c>
      <c r="E2" s="57" t="s">
        <v>32</v>
      </c>
      <c r="F2" s="60" t="s">
        <v>294</v>
      </c>
      <c r="G2" s="68">
        <v>45292</v>
      </c>
      <c r="H2" s="57">
        <v>4400</v>
      </c>
      <c r="I2" s="61">
        <v>3800</v>
      </c>
      <c r="J2" s="69" t="s">
        <v>35</v>
      </c>
    </row>
    <row r="3" spans="1:10">
      <c r="A3" s="58">
        <v>2</v>
      </c>
      <c r="B3" s="57">
        <v>18002</v>
      </c>
      <c r="C3" s="57" t="s">
        <v>36</v>
      </c>
      <c r="D3" s="57" t="s">
        <v>37</v>
      </c>
      <c r="E3" s="57" t="s">
        <v>32</v>
      </c>
      <c r="F3" s="60" t="s">
        <v>294</v>
      </c>
      <c r="G3" s="68">
        <v>45293</v>
      </c>
      <c r="H3" s="57">
        <v>4400</v>
      </c>
      <c r="I3" s="61">
        <v>1800</v>
      </c>
      <c r="J3" s="69" t="s">
        <v>88</v>
      </c>
    </row>
    <row r="4" spans="1:10">
      <c r="A4" s="58">
        <v>3</v>
      </c>
      <c r="B4" s="57">
        <v>18003</v>
      </c>
      <c r="C4" s="57" t="s">
        <v>40</v>
      </c>
      <c r="D4" s="57" t="s">
        <v>41</v>
      </c>
      <c r="E4" s="57" t="s">
        <v>32</v>
      </c>
      <c r="F4" s="60" t="s">
        <v>294</v>
      </c>
      <c r="G4" s="68">
        <v>45293</v>
      </c>
      <c r="H4" s="57">
        <v>4400</v>
      </c>
      <c r="I4" s="61">
        <v>4400</v>
      </c>
      <c r="J4" s="69" t="s">
        <v>295</v>
      </c>
    </row>
    <row r="5" spans="1:10">
      <c r="A5" s="58">
        <v>4</v>
      </c>
      <c r="B5" s="57">
        <v>18004</v>
      </c>
      <c r="C5" s="57" t="s">
        <v>296</v>
      </c>
      <c r="D5" s="57" t="s">
        <v>44</v>
      </c>
      <c r="E5" s="57" t="s">
        <v>32</v>
      </c>
      <c r="F5" s="60" t="s">
        <v>294</v>
      </c>
      <c r="G5" s="68">
        <v>45293</v>
      </c>
      <c r="H5" s="57">
        <v>4400</v>
      </c>
      <c r="I5" s="61">
        <v>4400</v>
      </c>
      <c r="J5" s="69" t="s">
        <v>297</v>
      </c>
    </row>
    <row r="6" spans="1:10">
      <c r="A6" s="58">
        <v>5</v>
      </c>
      <c r="B6" s="57">
        <v>18005</v>
      </c>
      <c r="C6" s="57" t="s">
        <v>45</v>
      </c>
      <c r="D6" s="57" t="s">
        <v>46</v>
      </c>
      <c r="E6" s="57" t="s">
        <v>32</v>
      </c>
      <c r="F6" s="60" t="s">
        <v>294</v>
      </c>
      <c r="G6" s="68">
        <v>45293</v>
      </c>
      <c r="H6" s="57">
        <v>4400</v>
      </c>
      <c r="I6" s="61">
        <v>500</v>
      </c>
      <c r="J6" s="69" t="s">
        <v>39</v>
      </c>
    </row>
    <row r="7" spans="1:10">
      <c r="A7" s="58">
        <v>6</v>
      </c>
      <c r="B7" s="57">
        <v>18006</v>
      </c>
      <c r="C7" s="57" t="s">
        <v>298</v>
      </c>
      <c r="D7" s="58" t="s">
        <v>48</v>
      </c>
      <c r="E7" s="57" t="s">
        <v>54</v>
      </c>
      <c r="F7" s="60" t="s">
        <v>294</v>
      </c>
      <c r="G7" s="68">
        <v>45293</v>
      </c>
      <c r="H7" s="57">
        <v>4400</v>
      </c>
      <c r="I7" s="61">
        <v>3800</v>
      </c>
      <c r="J7" s="69" t="s">
        <v>299</v>
      </c>
    </row>
    <row r="8" spans="1:10">
      <c r="A8" s="58">
        <v>7</v>
      </c>
      <c r="B8" s="57">
        <v>18007</v>
      </c>
      <c r="C8" s="57" t="s">
        <v>49</v>
      </c>
      <c r="D8" s="57" t="s">
        <v>50</v>
      </c>
      <c r="E8" s="57" t="s">
        <v>32</v>
      </c>
      <c r="F8" s="60" t="s">
        <v>294</v>
      </c>
      <c r="G8" s="68">
        <v>45294</v>
      </c>
      <c r="H8" s="57">
        <v>4400</v>
      </c>
      <c r="I8" s="61">
        <v>4400</v>
      </c>
      <c r="J8" s="69" t="s">
        <v>300</v>
      </c>
    </row>
    <row r="9" spans="1:10">
      <c r="A9" s="58">
        <v>8</v>
      </c>
      <c r="B9" s="57">
        <v>18008</v>
      </c>
      <c r="C9" s="57" t="s">
        <v>301</v>
      </c>
      <c r="D9" s="57" t="s">
        <v>53</v>
      </c>
      <c r="E9" s="57" t="s">
        <v>54</v>
      </c>
      <c r="F9" s="60" t="s">
        <v>294</v>
      </c>
      <c r="G9" s="68">
        <v>45294</v>
      </c>
      <c r="H9" s="57">
        <v>4400</v>
      </c>
      <c r="I9" s="61">
        <v>4400</v>
      </c>
      <c r="J9" s="69" t="s">
        <v>302</v>
      </c>
    </row>
    <row r="10" spans="1:10">
      <c r="A10" s="58">
        <v>9</v>
      </c>
      <c r="B10" s="57">
        <v>18009</v>
      </c>
      <c r="C10" s="57" t="s">
        <v>55</v>
      </c>
      <c r="D10" s="57" t="s">
        <v>303</v>
      </c>
      <c r="E10" s="57" t="s">
        <v>32</v>
      </c>
      <c r="F10" s="60" t="s">
        <v>294</v>
      </c>
      <c r="G10" s="68">
        <v>45294</v>
      </c>
      <c r="H10" s="57">
        <v>4400</v>
      </c>
      <c r="I10" s="61">
        <v>4400</v>
      </c>
      <c r="J10" s="69" t="s">
        <v>304</v>
      </c>
    </row>
    <row r="11" spans="1:10">
      <c r="A11" s="58">
        <v>10</v>
      </c>
      <c r="B11" s="57">
        <v>18010</v>
      </c>
      <c r="C11" s="57" t="s">
        <v>57</v>
      </c>
      <c r="D11" s="57" t="s">
        <v>305</v>
      </c>
      <c r="E11" s="57" t="s">
        <v>54</v>
      </c>
      <c r="F11" s="60" t="s">
        <v>294</v>
      </c>
      <c r="G11" s="68">
        <v>45294</v>
      </c>
      <c r="H11" s="57">
        <v>4400</v>
      </c>
      <c r="I11" s="61">
        <v>3800</v>
      </c>
      <c r="J11" s="69" t="s">
        <v>306</v>
      </c>
    </row>
    <row r="12" spans="1:10">
      <c r="A12" s="58">
        <v>11</v>
      </c>
      <c r="B12" s="57">
        <v>18011</v>
      </c>
      <c r="C12" s="57" t="s">
        <v>59</v>
      </c>
      <c r="D12" s="57" t="s">
        <v>60</v>
      </c>
      <c r="E12" s="57" t="s">
        <v>32</v>
      </c>
      <c r="F12" s="60" t="s">
        <v>294</v>
      </c>
      <c r="G12" s="68">
        <v>45295</v>
      </c>
      <c r="H12" s="57">
        <v>4400</v>
      </c>
      <c r="I12" s="61">
        <v>4000</v>
      </c>
      <c r="J12" s="69" t="s">
        <v>39</v>
      </c>
    </row>
    <row r="13" spans="1:10">
      <c r="A13" s="58">
        <v>12</v>
      </c>
      <c r="B13" s="57">
        <v>18012</v>
      </c>
      <c r="C13" s="57" t="s">
        <v>307</v>
      </c>
      <c r="D13" s="57" t="s">
        <v>62</v>
      </c>
      <c r="E13" s="57" t="s">
        <v>32</v>
      </c>
      <c r="F13" s="60" t="s">
        <v>294</v>
      </c>
      <c r="G13" s="68">
        <v>45295</v>
      </c>
      <c r="H13" s="57">
        <v>4400</v>
      </c>
      <c r="I13" s="61">
        <v>1200</v>
      </c>
      <c r="J13" s="69" t="s">
        <v>299</v>
      </c>
    </row>
    <row r="14" spans="1:10">
      <c r="A14" s="58">
        <v>13</v>
      </c>
      <c r="B14" s="57">
        <v>18013</v>
      </c>
      <c r="C14" s="57" t="s">
        <v>308</v>
      </c>
      <c r="D14" s="57" t="s">
        <v>65</v>
      </c>
      <c r="E14" s="57" t="s">
        <v>54</v>
      </c>
      <c r="F14" s="60" t="s">
        <v>294</v>
      </c>
      <c r="G14" s="68">
        <v>45296</v>
      </c>
      <c r="H14" s="57">
        <v>4400</v>
      </c>
      <c r="I14" s="61">
        <v>3800</v>
      </c>
      <c r="J14" s="69" t="s">
        <v>35</v>
      </c>
    </row>
    <row r="15" spans="1:10">
      <c r="A15" s="58">
        <v>14</v>
      </c>
      <c r="B15" s="57">
        <v>18014</v>
      </c>
      <c r="C15" s="57" t="s">
        <v>309</v>
      </c>
      <c r="D15" s="57" t="s">
        <v>67</v>
      </c>
      <c r="E15" s="57" t="s">
        <v>54</v>
      </c>
      <c r="F15" s="60" t="s">
        <v>294</v>
      </c>
      <c r="G15" s="68">
        <v>45296</v>
      </c>
      <c r="H15" s="57">
        <v>4400</v>
      </c>
      <c r="I15" s="61">
        <v>4400</v>
      </c>
      <c r="J15" s="69" t="s">
        <v>310</v>
      </c>
    </row>
    <row r="16" spans="1:10">
      <c r="A16" s="58">
        <v>15</v>
      </c>
      <c r="B16" s="57">
        <v>18015</v>
      </c>
      <c r="C16" s="57" t="s">
        <v>68</v>
      </c>
      <c r="D16" s="57" t="s">
        <v>69</v>
      </c>
      <c r="E16" s="57" t="s">
        <v>32</v>
      </c>
      <c r="F16" s="60" t="s">
        <v>294</v>
      </c>
      <c r="G16" s="68">
        <v>45296</v>
      </c>
      <c r="H16" s="57">
        <v>4400</v>
      </c>
      <c r="I16" s="61">
        <v>3800</v>
      </c>
      <c r="J16" s="69" t="s">
        <v>70</v>
      </c>
    </row>
    <row r="17" spans="1:10">
      <c r="A17" s="58">
        <v>16</v>
      </c>
      <c r="B17" s="57">
        <v>18016</v>
      </c>
      <c r="C17" s="57" t="s">
        <v>71</v>
      </c>
      <c r="D17" s="57" t="s">
        <v>72</v>
      </c>
      <c r="E17" s="57" t="s">
        <v>54</v>
      </c>
      <c r="F17" s="60" t="s">
        <v>73</v>
      </c>
      <c r="G17" s="68">
        <v>45309</v>
      </c>
      <c r="H17" s="57">
        <v>5500</v>
      </c>
      <c r="I17" s="61">
        <v>5500</v>
      </c>
      <c r="J17" s="69" t="s">
        <v>75</v>
      </c>
    </row>
    <row r="18" spans="1:10">
      <c r="A18" s="58">
        <v>17</v>
      </c>
      <c r="B18" s="57">
        <v>18017</v>
      </c>
      <c r="C18" s="57" t="s">
        <v>76</v>
      </c>
      <c r="D18" s="57" t="s">
        <v>311</v>
      </c>
      <c r="E18" s="57" t="s">
        <v>54</v>
      </c>
      <c r="F18" s="60" t="s">
        <v>73</v>
      </c>
      <c r="G18" s="68">
        <v>45309</v>
      </c>
      <c r="H18" s="57">
        <v>5500</v>
      </c>
      <c r="I18" s="61">
        <v>5500</v>
      </c>
      <c r="J18" s="69" t="s">
        <v>70</v>
      </c>
    </row>
    <row r="19" spans="1:10">
      <c r="A19" s="58">
        <v>18</v>
      </c>
      <c r="B19" s="57">
        <v>18018</v>
      </c>
      <c r="C19" s="57" t="s">
        <v>78</v>
      </c>
      <c r="D19" s="57" t="s">
        <v>79</v>
      </c>
      <c r="E19" s="57" t="s">
        <v>54</v>
      </c>
      <c r="F19" s="60" t="s">
        <v>73</v>
      </c>
      <c r="G19" s="68">
        <v>45309</v>
      </c>
      <c r="H19" s="57">
        <v>5500</v>
      </c>
      <c r="I19" s="61">
        <v>4900</v>
      </c>
      <c r="J19" s="69" t="s">
        <v>75</v>
      </c>
    </row>
    <row r="20" spans="1:10">
      <c r="A20" s="58">
        <v>19</v>
      </c>
      <c r="B20" s="57">
        <v>18019</v>
      </c>
      <c r="C20" s="57" t="s">
        <v>80</v>
      </c>
      <c r="D20" s="57" t="s">
        <v>81</v>
      </c>
      <c r="E20" s="57" t="s">
        <v>32</v>
      </c>
      <c r="F20" s="60" t="s">
        <v>73</v>
      </c>
      <c r="G20" s="68">
        <v>45310</v>
      </c>
      <c r="H20" s="57">
        <v>5500</v>
      </c>
      <c r="I20" s="61">
        <v>4900</v>
      </c>
      <c r="J20" s="69" t="s">
        <v>75</v>
      </c>
    </row>
    <row r="21" spans="1:10">
      <c r="A21" s="58">
        <v>20</v>
      </c>
      <c r="B21" s="57">
        <v>18020</v>
      </c>
      <c r="C21" s="57" t="s">
        <v>83</v>
      </c>
      <c r="D21" s="62" t="s">
        <v>84</v>
      </c>
      <c r="E21" s="57" t="s">
        <v>32</v>
      </c>
      <c r="F21" s="60" t="s">
        <v>73</v>
      </c>
      <c r="G21" s="68">
        <v>45310</v>
      </c>
      <c r="H21" s="57">
        <v>5500</v>
      </c>
      <c r="I21" s="61">
        <v>5500</v>
      </c>
      <c r="J21" s="69" t="s">
        <v>70</v>
      </c>
    </row>
    <row r="22" spans="1:10">
      <c r="A22" s="58">
        <v>21</v>
      </c>
      <c r="B22" s="57">
        <v>18021</v>
      </c>
      <c r="C22" s="57" t="s">
        <v>312</v>
      </c>
      <c r="D22" s="58" t="s">
        <v>87</v>
      </c>
      <c r="E22" s="57" t="s">
        <v>32</v>
      </c>
      <c r="F22" s="60" t="s">
        <v>73</v>
      </c>
      <c r="G22" s="68">
        <v>45310</v>
      </c>
      <c r="H22" s="57">
        <v>5500</v>
      </c>
      <c r="I22" s="61">
        <v>5500</v>
      </c>
      <c r="J22" s="69" t="s">
        <v>88</v>
      </c>
    </row>
    <row r="23" spans="1:10">
      <c r="A23" s="58">
        <v>22</v>
      </c>
      <c r="B23" s="57">
        <v>18022</v>
      </c>
      <c r="C23" s="57" t="s">
        <v>89</v>
      </c>
      <c r="D23" s="57" t="s">
        <v>313</v>
      </c>
      <c r="E23" s="57" t="s">
        <v>32</v>
      </c>
      <c r="F23" s="60" t="s">
        <v>73</v>
      </c>
      <c r="G23" s="68">
        <v>45311</v>
      </c>
      <c r="H23" s="57">
        <v>5500</v>
      </c>
      <c r="I23" s="61">
        <v>5100</v>
      </c>
      <c r="J23" s="69" t="s">
        <v>314</v>
      </c>
    </row>
    <row r="24" spans="1:10">
      <c r="A24" s="58">
        <v>23</v>
      </c>
      <c r="B24" s="57">
        <v>18023</v>
      </c>
      <c r="C24" s="57" t="s">
        <v>91</v>
      </c>
      <c r="D24" s="57" t="s">
        <v>315</v>
      </c>
      <c r="E24" s="57" t="s">
        <v>32</v>
      </c>
      <c r="F24" s="60" t="s">
        <v>73</v>
      </c>
      <c r="G24" s="68">
        <v>45311</v>
      </c>
      <c r="H24" s="57">
        <v>5500</v>
      </c>
      <c r="I24" s="61">
        <v>5500</v>
      </c>
      <c r="J24" s="69" t="s">
        <v>39</v>
      </c>
    </row>
    <row r="25" spans="1:10">
      <c r="A25" s="58">
        <v>24</v>
      </c>
      <c r="B25" s="57">
        <v>18024</v>
      </c>
      <c r="C25" s="57" t="s">
        <v>316</v>
      </c>
      <c r="D25" s="57" t="s">
        <v>317</v>
      </c>
      <c r="E25" s="57" t="s">
        <v>54</v>
      </c>
      <c r="F25" s="60" t="s">
        <v>73</v>
      </c>
      <c r="G25" s="68">
        <v>45311</v>
      </c>
      <c r="H25" s="57">
        <v>5500</v>
      </c>
      <c r="I25" s="61">
        <v>5100</v>
      </c>
      <c r="J25" s="69" t="s">
        <v>299</v>
      </c>
    </row>
    <row r="26" spans="1:10">
      <c r="A26" s="58">
        <v>25</v>
      </c>
      <c r="B26" s="57">
        <v>18025</v>
      </c>
      <c r="C26" s="57" t="s">
        <v>318</v>
      </c>
      <c r="D26" s="57" t="s">
        <v>319</v>
      </c>
      <c r="E26" s="57" t="s">
        <v>54</v>
      </c>
      <c r="F26" s="60" t="s">
        <v>73</v>
      </c>
      <c r="G26" s="68">
        <v>45313</v>
      </c>
      <c r="H26" s="57">
        <v>5500</v>
      </c>
      <c r="I26" s="61">
        <v>4900</v>
      </c>
      <c r="J26" s="69" t="s">
        <v>299</v>
      </c>
    </row>
    <row r="27" spans="1:10">
      <c r="A27" s="58">
        <v>26</v>
      </c>
      <c r="B27" s="57">
        <v>18026</v>
      </c>
      <c r="C27" s="57" t="s">
        <v>320</v>
      </c>
      <c r="D27" s="58" t="s">
        <v>321</v>
      </c>
      <c r="E27" s="57" t="s">
        <v>54</v>
      </c>
      <c r="F27" s="60" t="s">
        <v>73</v>
      </c>
      <c r="G27" s="68">
        <v>45313</v>
      </c>
      <c r="H27" s="57">
        <v>5500</v>
      </c>
      <c r="I27" s="61">
        <v>4900</v>
      </c>
      <c r="J27" s="69" t="s">
        <v>322</v>
      </c>
    </row>
    <row r="28" spans="1:10">
      <c r="A28" s="58">
        <v>27</v>
      </c>
      <c r="B28" s="57">
        <v>18027</v>
      </c>
      <c r="C28" s="57" t="s">
        <v>323</v>
      </c>
      <c r="D28" s="57" t="s">
        <v>324</v>
      </c>
      <c r="E28" s="57" t="s">
        <v>32</v>
      </c>
      <c r="F28" s="60" t="s">
        <v>73</v>
      </c>
      <c r="G28" s="68">
        <v>45313</v>
      </c>
      <c r="H28" s="57">
        <v>5500</v>
      </c>
      <c r="I28" s="61">
        <v>1300</v>
      </c>
      <c r="J28" s="69" t="s">
        <v>325</v>
      </c>
    </row>
    <row r="29" spans="1:10">
      <c r="A29" s="58">
        <v>28</v>
      </c>
      <c r="B29" s="57">
        <v>18028</v>
      </c>
      <c r="C29" s="57" t="s">
        <v>326</v>
      </c>
      <c r="D29" s="57" t="s">
        <v>327</v>
      </c>
      <c r="E29" s="57" t="s">
        <v>32</v>
      </c>
      <c r="F29" s="60" t="s">
        <v>73</v>
      </c>
      <c r="G29" s="68">
        <v>45314</v>
      </c>
      <c r="H29" s="57">
        <v>5500</v>
      </c>
      <c r="I29" s="61">
        <v>5500</v>
      </c>
      <c r="J29" s="69" t="s">
        <v>295</v>
      </c>
    </row>
    <row r="30" spans="1:10">
      <c r="A30" s="58">
        <v>29</v>
      </c>
      <c r="B30" s="57">
        <v>18029</v>
      </c>
      <c r="C30" s="57" t="s">
        <v>328</v>
      </c>
      <c r="D30" s="57" t="s">
        <v>329</v>
      </c>
      <c r="E30" s="57" t="s">
        <v>54</v>
      </c>
      <c r="F30" s="60" t="s">
        <v>330</v>
      </c>
      <c r="G30" s="68">
        <v>45334</v>
      </c>
      <c r="H30" s="57">
        <v>3200</v>
      </c>
      <c r="I30" s="61">
        <v>3200</v>
      </c>
      <c r="J30" s="69" t="s">
        <v>314</v>
      </c>
    </row>
    <row r="31" spans="1:10">
      <c r="A31" s="58">
        <v>30</v>
      </c>
      <c r="B31" s="57">
        <v>18030</v>
      </c>
      <c r="C31" s="57" t="s">
        <v>331</v>
      </c>
      <c r="D31" s="57" t="s">
        <v>332</v>
      </c>
      <c r="E31" s="57" t="s">
        <v>32</v>
      </c>
      <c r="F31" s="60" t="s">
        <v>330</v>
      </c>
      <c r="G31" s="68">
        <v>45335</v>
      </c>
      <c r="H31" s="57">
        <v>3200</v>
      </c>
      <c r="I31" s="61">
        <v>3200</v>
      </c>
      <c r="J31" s="69" t="s">
        <v>314</v>
      </c>
    </row>
    <row r="32" spans="1:10">
      <c r="A32" s="58">
        <v>31</v>
      </c>
      <c r="B32" s="57">
        <v>18031</v>
      </c>
      <c r="C32" s="57" t="s">
        <v>301</v>
      </c>
      <c r="D32" s="57" t="s">
        <v>333</v>
      </c>
      <c r="E32" s="57" t="s">
        <v>32</v>
      </c>
      <c r="F32" s="60" t="s">
        <v>330</v>
      </c>
      <c r="G32" s="68">
        <v>45335</v>
      </c>
      <c r="H32" s="57">
        <v>3200</v>
      </c>
      <c r="I32" s="61">
        <v>2600</v>
      </c>
      <c r="J32" s="69" t="s">
        <v>302</v>
      </c>
    </row>
    <row r="33" spans="1:10">
      <c r="A33" s="58">
        <v>32</v>
      </c>
      <c r="B33" s="57">
        <v>18032</v>
      </c>
      <c r="C33" s="57" t="s">
        <v>334</v>
      </c>
      <c r="D33" s="57" t="s">
        <v>335</v>
      </c>
      <c r="E33" s="57" t="s">
        <v>32</v>
      </c>
      <c r="F33" s="60" t="s">
        <v>330</v>
      </c>
      <c r="G33" s="68">
        <v>45335</v>
      </c>
      <c r="H33" s="57">
        <v>3200</v>
      </c>
      <c r="I33" s="61">
        <v>2800</v>
      </c>
      <c r="J33" s="69" t="s">
        <v>302</v>
      </c>
    </row>
    <row r="34" spans="1:10">
      <c r="A34" s="58">
        <v>33</v>
      </c>
      <c r="B34" s="57">
        <v>18033</v>
      </c>
      <c r="C34" s="57" t="s">
        <v>40</v>
      </c>
      <c r="D34" s="57" t="s">
        <v>336</v>
      </c>
      <c r="E34" s="57" t="s">
        <v>54</v>
      </c>
      <c r="F34" s="60" t="s">
        <v>330</v>
      </c>
      <c r="G34" s="68">
        <v>45335</v>
      </c>
      <c r="H34" s="57">
        <v>3200</v>
      </c>
      <c r="I34" s="61">
        <v>3200</v>
      </c>
      <c r="J34" s="69" t="s">
        <v>337</v>
      </c>
    </row>
    <row r="35" spans="1:10">
      <c r="A35" s="58">
        <v>34</v>
      </c>
      <c r="B35" s="57">
        <v>18034</v>
      </c>
      <c r="C35" s="57" t="s">
        <v>45</v>
      </c>
      <c r="D35" s="57" t="s">
        <v>329</v>
      </c>
      <c r="E35" s="57" t="s">
        <v>32</v>
      </c>
      <c r="F35" s="60" t="s">
        <v>330</v>
      </c>
      <c r="G35" s="68">
        <v>45335</v>
      </c>
      <c r="H35" s="57">
        <v>3200</v>
      </c>
      <c r="I35" s="61">
        <v>2600</v>
      </c>
      <c r="J35" s="69" t="s">
        <v>297</v>
      </c>
    </row>
    <row r="36" spans="1:10">
      <c r="A36" s="58">
        <v>35</v>
      </c>
      <c r="B36" s="57">
        <v>18035</v>
      </c>
      <c r="C36" s="57" t="s">
        <v>338</v>
      </c>
      <c r="D36" s="58" t="s">
        <v>339</v>
      </c>
      <c r="E36" s="57" t="s">
        <v>32</v>
      </c>
      <c r="F36" s="60" t="s">
        <v>330</v>
      </c>
      <c r="G36" s="68">
        <v>45335</v>
      </c>
      <c r="H36" s="57">
        <v>3200</v>
      </c>
      <c r="I36" s="61">
        <v>2800</v>
      </c>
      <c r="J36" s="69" t="s">
        <v>310</v>
      </c>
    </row>
    <row r="37" spans="1:10">
      <c r="A37" s="58">
        <v>36</v>
      </c>
      <c r="B37" s="57">
        <v>18036</v>
      </c>
      <c r="C37" s="57" t="s">
        <v>340</v>
      </c>
      <c r="D37" s="62" t="s">
        <v>341</v>
      </c>
      <c r="E37" s="57" t="s">
        <v>54</v>
      </c>
      <c r="F37" s="60" t="s">
        <v>330</v>
      </c>
      <c r="G37" s="68">
        <v>45336</v>
      </c>
      <c r="H37" s="57">
        <v>3200</v>
      </c>
      <c r="I37" s="61">
        <v>1000</v>
      </c>
      <c r="J37" s="69" t="s">
        <v>322</v>
      </c>
    </row>
    <row r="38" spans="1:10">
      <c r="A38" s="58">
        <v>37</v>
      </c>
      <c r="B38" s="57">
        <v>18037</v>
      </c>
      <c r="C38" s="57" t="s">
        <v>342</v>
      </c>
      <c r="D38" s="57" t="s">
        <v>343</v>
      </c>
      <c r="E38" s="57" t="s">
        <v>54</v>
      </c>
      <c r="F38" s="60" t="s">
        <v>330</v>
      </c>
      <c r="G38" s="68">
        <v>45337</v>
      </c>
      <c r="H38" s="57">
        <v>3200</v>
      </c>
      <c r="I38" s="61">
        <v>3200</v>
      </c>
      <c r="J38" s="69" t="s">
        <v>337</v>
      </c>
    </row>
    <row r="39" spans="1:10">
      <c r="A39" s="58">
        <v>38</v>
      </c>
      <c r="B39" s="57">
        <v>18038</v>
      </c>
      <c r="C39" s="57" t="s">
        <v>344</v>
      </c>
      <c r="D39" s="57" t="s">
        <v>345</v>
      </c>
      <c r="E39" s="57" t="s">
        <v>54</v>
      </c>
      <c r="F39" s="60" t="s">
        <v>330</v>
      </c>
      <c r="G39" s="68">
        <v>45337</v>
      </c>
      <c r="H39" s="57">
        <v>3200</v>
      </c>
      <c r="I39" s="61">
        <v>2600</v>
      </c>
      <c r="J39" s="69" t="s">
        <v>300</v>
      </c>
    </row>
    <row r="40" spans="1:10">
      <c r="A40" s="58">
        <v>39</v>
      </c>
      <c r="B40" s="57">
        <v>18039</v>
      </c>
      <c r="C40" s="57" t="s">
        <v>346</v>
      </c>
      <c r="D40" s="57" t="s">
        <v>347</v>
      </c>
      <c r="E40" s="57" t="s">
        <v>32</v>
      </c>
      <c r="F40" s="60" t="s">
        <v>330</v>
      </c>
      <c r="G40" s="68">
        <v>45338</v>
      </c>
      <c r="H40" s="57">
        <v>3200</v>
      </c>
      <c r="I40" s="61">
        <v>3200</v>
      </c>
      <c r="J40" s="69" t="s">
        <v>35</v>
      </c>
    </row>
    <row r="41" spans="1:10">
      <c r="A41" s="58">
        <v>40</v>
      </c>
      <c r="B41" s="57">
        <v>18040</v>
      </c>
      <c r="C41" s="57" t="s">
        <v>348</v>
      </c>
      <c r="D41" s="57" t="s">
        <v>349</v>
      </c>
      <c r="E41" s="57" t="s">
        <v>32</v>
      </c>
      <c r="F41" s="60" t="s">
        <v>330</v>
      </c>
      <c r="G41" s="68">
        <v>45338</v>
      </c>
      <c r="H41" s="57">
        <v>3200</v>
      </c>
      <c r="I41" s="61">
        <v>3200</v>
      </c>
      <c r="J41" s="69" t="s">
        <v>88</v>
      </c>
    </row>
    <row r="42" spans="1:10">
      <c r="A42" s="58">
        <v>41</v>
      </c>
      <c r="B42" s="57">
        <v>18041</v>
      </c>
      <c r="C42" s="57" t="s">
        <v>350</v>
      </c>
      <c r="D42" s="57" t="s">
        <v>351</v>
      </c>
      <c r="E42" s="57" t="s">
        <v>32</v>
      </c>
      <c r="F42" s="60" t="s">
        <v>330</v>
      </c>
      <c r="G42" s="68">
        <v>45338</v>
      </c>
      <c r="H42" s="57">
        <v>3200</v>
      </c>
      <c r="I42" s="61">
        <v>2600</v>
      </c>
      <c r="J42" s="69" t="s">
        <v>306</v>
      </c>
    </row>
    <row r="43" spans="1:10">
      <c r="A43" s="58">
        <v>42</v>
      </c>
      <c r="B43" s="57">
        <v>18042</v>
      </c>
      <c r="C43" s="57" t="s">
        <v>352</v>
      </c>
      <c r="D43" s="57" t="s">
        <v>353</v>
      </c>
      <c r="E43" s="57" t="s">
        <v>32</v>
      </c>
      <c r="F43" s="60" t="s">
        <v>330</v>
      </c>
      <c r="G43" s="68">
        <v>45339</v>
      </c>
      <c r="H43" s="57">
        <v>3200</v>
      </c>
      <c r="I43" s="61">
        <v>3200</v>
      </c>
      <c r="J43" s="69" t="s">
        <v>325</v>
      </c>
    </row>
    <row r="44" spans="1:10">
      <c r="A44" s="58">
        <v>43</v>
      </c>
      <c r="B44" s="57">
        <v>18043</v>
      </c>
      <c r="C44" s="57" t="s">
        <v>354</v>
      </c>
      <c r="D44" s="58" t="s">
        <v>355</v>
      </c>
      <c r="E44" s="57" t="s">
        <v>32</v>
      </c>
      <c r="F44" s="60" t="s">
        <v>330</v>
      </c>
      <c r="G44" s="68">
        <v>45339</v>
      </c>
      <c r="H44" s="57">
        <v>3200</v>
      </c>
      <c r="I44" s="61">
        <v>2800</v>
      </c>
      <c r="J44" s="69" t="s">
        <v>295</v>
      </c>
    </row>
    <row r="45" spans="1:10">
      <c r="A45" s="58">
        <v>44</v>
      </c>
      <c r="B45" s="57">
        <v>18044</v>
      </c>
      <c r="C45" s="62" t="s">
        <v>356</v>
      </c>
      <c r="D45" s="57" t="s">
        <v>357</v>
      </c>
      <c r="E45" s="57" t="s">
        <v>32</v>
      </c>
      <c r="F45" s="60" t="s">
        <v>73</v>
      </c>
      <c r="G45" s="68">
        <v>45544</v>
      </c>
      <c r="H45" s="57">
        <v>5500</v>
      </c>
      <c r="I45" s="61">
        <v>5500</v>
      </c>
      <c r="J45" s="69" t="s">
        <v>297</v>
      </c>
    </row>
    <row r="46" spans="1:10">
      <c r="A46" s="58">
        <v>45</v>
      </c>
      <c r="B46" s="57">
        <v>18045</v>
      </c>
      <c r="C46" s="62" t="s">
        <v>358</v>
      </c>
      <c r="D46" s="57" t="s">
        <v>359</v>
      </c>
      <c r="E46" s="57" t="s">
        <v>54</v>
      </c>
      <c r="F46" s="60" t="s">
        <v>73</v>
      </c>
      <c r="G46" s="68">
        <v>45545</v>
      </c>
      <c r="H46" s="57">
        <v>5500</v>
      </c>
      <c r="I46" s="61">
        <v>5500</v>
      </c>
      <c r="J46" s="69" t="s">
        <v>310</v>
      </c>
    </row>
    <row r="47" spans="1:10">
      <c r="A47" s="58">
        <v>46</v>
      </c>
      <c r="B47" s="57">
        <v>18046</v>
      </c>
      <c r="C47" s="57" t="s">
        <v>91</v>
      </c>
      <c r="D47" s="57" t="s">
        <v>360</v>
      </c>
      <c r="E47" s="57" t="s">
        <v>32</v>
      </c>
      <c r="F47" s="60" t="s">
        <v>294</v>
      </c>
      <c r="G47" s="68">
        <v>45553</v>
      </c>
      <c r="H47" s="57">
        <v>4400</v>
      </c>
      <c r="I47" s="61">
        <v>4400</v>
      </c>
      <c r="J47" s="69" t="s">
        <v>322</v>
      </c>
    </row>
    <row r="48" spans="1:10">
      <c r="A48" s="58">
        <v>47</v>
      </c>
      <c r="B48" s="57">
        <v>18047</v>
      </c>
      <c r="C48" s="57" t="s">
        <v>78</v>
      </c>
      <c r="D48" s="57" t="s">
        <v>361</v>
      </c>
      <c r="E48" s="57" t="s">
        <v>32</v>
      </c>
      <c r="F48" s="60" t="s">
        <v>294</v>
      </c>
      <c r="G48" s="68">
        <v>45553</v>
      </c>
      <c r="H48" s="57">
        <v>4400</v>
      </c>
      <c r="I48" s="61">
        <v>4400</v>
      </c>
      <c r="J48" s="69" t="s">
        <v>337</v>
      </c>
    </row>
    <row r="49" spans="1:10">
      <c r="A49" s="58">
        <v>48</v>
      </c>
      <c r="B49" s="57">
        <v>18048</v>
      </c>
      <c r="C49" s="57" t="s">
        <v>320</v>
      </c>
      <c r="D49" s="58" t="s">
        <v>349</v>
      </c>
      <c r="E49" s="57" t="s">
        <v>54</v>
      </c>
      <c r="F49" s="60" t="s">
        <v>294</v>
      </c>
      <c r="G49" s="68">
        <v>45556</v>
      </c>
      <c r="H49" s="57">
        <v>4400</v>
      </c>
      <c r="I49" s="61">
        <v>3800</v>
      </c>
      <c r="J49" s="69" t="s">
        <v>300</v>
      </c>
    </row>
    <row r="50" spans="1:10">
      <c r="A50" s="58">
        <v>49</v>
      </c>
      <c r="B50" s="57">
        <v>18049</v>
      </c>
      <c r="C50" s="57" t="s">
        <v>318</v>
      </c>
      <c r="D50" s="57" t="s">
        <v>362</v>
      </c>
      <c r="E50" s="57" t="s">
        <v>32</v>
      </c>
      <c r="F50" s="60" t="s">
        <v>294</v>
      </c>
      <c r="G50" s="68">
        <v>45559</v>
      </c>
      <c r="H50" s="57">
        <v>4400</v>
      </c>
      <c r="I50" s="61">
        <v>4000</v>
      </c>
      <c r="J50" s="69" t="s">
        <v>35</v>
      </c>
    </row>
    <row r="51" spans="1:10">
      <c r="A51" s="58">
        <v>50</v>
      </c>
      <c r="B51" s="57">
        <v>18050</v>
      </c>
      <c r="C51" s="57" t="s">
        <v>89</v>
      </c>
      <c r="D51" s="57" t="s">
        <v>363</v>
      </c>
      <c r="E51" s="57" t="s">
        <v>54</v>
      </c>
      <c r="F51" s="60" t="s">
        <v>294</v>
      </c>
      <c r="G51" s="68">
        <v>45560</v>
      </c>
      <c r="H51" s="57">
        <v>4400</v>
      </c>
      <c r="I51" s="61">
        <v>4400</v>
      </c>
      <c r="J51" s="69" t="s">
        <v>88</v>
      </c>
    </row>
    <row r="52" spans="1:10">
      <c r="A52" s="58">
        <v>51</v>
      </c>
      <c r="B52" s="57">
        <v>18051</v>
      </c>
      <c r="C52" s="57" t="s">
        <v>326</v>
      </c>
      <c r="D52" s="57" t="s">
        <v>364</v>
      </c>
      <c r="E52" s="57" t="s">
        <v>32</v>
      </c>
      <c r="F52" s="60" t="s">
        <v>294</v>
      </c>
      <c r="G52" s="68">
        <v>45561</v>
      </c>
      <c r="H52" s="57">
        <v>4400</v>
      </c>
      <c r="I52" s="61">
        <v>3800</v>
      </c>
      <c r="J52" s="69" t="s">
        <v>306</v>
      </c>
    </row>
    <row r="53" spans="1:10">
      <c r="A53" s="58">
        <v>52</v>
      </c>
      <c r="B53" s="57">
        <v>18052</v>
      </c>
      <c r="C53" s="57" t="s">
        <v>323</v>
      </c>
      <c r="D53" s="57" t="s">
        <v>365</v>
      </c>
      <c r="E53" s="57" t="s">
        <v>32</v>
      </c>
      <c r="F53" s="60" t="s">
        <v>294</v>
      </c>
      <c r="G53" s="68">
        <v>45561</v>
      </c>
      <c r="H53" s="57">
        <v>4400</v>
      </c>
      <c r="I53" s="61">
        <v>3800</v>
      </c>
      <c r="J53" s="69" t="s">
        <v>325</v>
      </c>
    </row>
    <row r="54" spans="1:10">
      <c r="A54" s="58">
        <v>53</v>
      </c>
      <c r="B54" s="57">
        <v>18053</v>
      </c>
      <c r="C54" s="57" t="s">
        <v>83</v>
      </c>
      <c r="D54" s="57" t="s">
        <v>366</v>
      </c>
      <c r="E54" s="57" t="s">
        <v>54</v>
      </c>
      <c r="F54" s="60" t="s">
        <v>294</v>
      </c>
      <c r="G54" s="68">
        <v>45566</v>
      </c>
      <c r="H54" s="57">
        <v>4400</v>
      </c>
      <c r="I54" s="61">
        <v>3800</v>
      </c>
      <c r="J54" s="69" t="s">
        <v>295</v>
      </c>
    </row>
    <row r="55" spans="1:10">
      <c r="A55" s="58">
        <v>54</v>
      </c>
      <c r="B55" s="57">
        <v>18054</v>
      </c>
      <c r="C55" s="62" t="s">
        <v>358</v>
      </c>
      <c r="D55" s="57" t="s">
        <v>367</v>
      </c>
      <c r="E55" s="57" t="s">
        <v>32</v>
      </c>
      <c r="F55" s="60" t="s">
        <v>294</v>
      </c>
      <c r="G55" s="68">
        <v>45568</v>
      </c>
      <c r="H55" s="57">
        <v>4400</v>
      </c>
      <c r="I55" s="61">
        <v>4000</v>
      </c>
      <c r="J55" s="69" t="s">
        <v>297</v>
      </c>
    </row>
    <row r="56" spans="1:10">
      <c r="A56" s="58">
        <v>55</v>
      </c>
      <c r="B56" s="57">
        <v>18055</v>
      </c>
      <c r="C56" s="57" t="s">
        <v>76</v>
      </c>
      <c r="D56" s="57" t="s">
        <v>368</v>
      </c>
      <c r="E56" s="57" t="s">
        <v>32</v>
      </c>
      <c r="F56" s="60" t="s">
        <v>294</v>
      </c>
      <c r="G56" s="68">
        <v>45568</v>
      </c>
      <c r="H56" s="57">
        <v>4400</v>
      </c>
      <c r="I56" s="61">
        <v>3800</v>
      </c>
      <c r="J56" s="69" t="s">
        <v>310</v>
      </c>
    </row>
    <row r="57" spans="1:10">
      <c r="A57" s="58">
        <v>56</v>
      </c>
      <c r="B57" s="57">
        <v>18056</v>
      </c>
      <c r="C57" s="57" t="s">
        <v>312</v>
      </c>
      <c r="D57" s="57" t="s">
        <v>369</v>
      </c>
      <c r="E57" s="57" t="s">
        <v>32</v>
      </c>
      <c r="F57" s="60" t="s">
        <v>294</v>
      </c>
      <c r="G57" s="68">
        <v>45569</v>
      </c>
      <c r="H57" s="57">
        <v>4400</v>
      </c>
      <c r="I57" s="61">
        <v>3800</v>
      </c>
      <c r="J57" s="69" t="s">
        <v>322</v>
      </c>
    </row>
    <row r="58" spans="1:10">
      <c r="A58" s="58">
        <v>57</v>
      </c>
      <c r="B58" s="57">
        <v>18057</v>
      </c>
      <c r="C58" s="57" t="s">
        <v>316</v>
      </c>
      <c r="D58" s="57" t="s">
        <v>370</v>
      </c>
      <c r="E58" s="57" t="s">
        <v>54</v>
      </c>
      <c r="F58" s="60" t="s">
        <v>294</v>
      </c>
      <c r="G58" s="68">
        <v>45569</v>
      </c>
      <c r="H58" s="57">
        <v>4400</v>
      </c>
      <c r="I58" s="61">
        <v>4400</v>
      </c>
      <c r="J58" s="69" t="s">
        <v>337</v>
      </c>
    </row>
    <row r="59" spans="1:10">
      <c r="A59" s="58">
        <v>58</v>
      </c>
      <c r="B59" s="57">
        <v>18058</v>
      </c>
      <c r="C59" s="57" t="s">
        <v>80</v>
      </c>
      <c r="D59" s="57" t="s">
        <v>371</v>
      </c>
      <c r="E59" s="57" t="s">
        <v>32</v>
      </c>
      <c r="F59" s="60" t="s">
        <v>294</v>
      </c>
      <c r="G59" s="68">
        <v>45570</v>
      </c>
      <c r="H59" s="57">
        <v>4400</v>
      </c>
      <c r="I59" s="61">
        <v>3800</v>
      </c>
      <c r="J59" s="69" t="s">
        <v>300</v>
      </c>
    </row>
    <row r="60" spans="1:10">
      <c r="A60" s="58">
        <v>59</v>
      </c>
      <c r="B60" s="57">
        <v>18059</v>
      </c>
      <c r="C60" s="57" t="s">
        <v>71</v>
      </c>
      <c r="D60" s="57" t="s">
        <v>372</v>
      </c>
      <c r="E60" s="57" t="s">
        <v>54</v>
      </c>
      <c r="F60" s="60" t="s">
        <v>294</v>
      </c>
      <c r="G60" s="68">
        <v>45573</v>
      </c>
      <c r="H60" s="57">
        <v>4400</v>
      </c>
      <c r="I60" s="61">
        <v>4000</v>
      </c>
      <c r="J60" s="69" t="s">
        <v>322</v>
      </c>
    </row>
    <row r="61" spans="1:10">
      <c r="A61" s="58">
        <v>60</v>
      </c>
      <c r="B61" s="57">
        <v>18060</v>
      </c>
      <c r="C61" s="62" t="s">
        <v>356</v>
      </c>
      <c r="D61" s="57" t="s">
        <v>373</v>
      </c>
      <c r="E61" s="57" t="s">
        <v>54</v>
      </c>
      <c r="F61" s="60" t="s">
        <v>294</v>
      </c>
      <c r="G61" s="68">
        <v>45573</v>
      </c>
      <c r="H61" s="57">
        <v>4400</v>
      </c>
      <c r="I61" s="61">
        <v>3800</v>
      </c>
      <c r="J61" s="69" t="s">
        <v>322</v>
      </c>
    </row>
    <row r="62" spans="1:10">
      <c r="A62" s="58">
        <v>61</v>
      </c>
      <c r="B62" s="57">
        <v>18061</v>
      </c>
      <c r="C62" s="58" t="s">
        <v>374</v>
      </c>
      <c r="D62" s="57" t="s">
        <v>375</v>
      </c>
      <c r="E62" s="57" t="s">
        <v>54</v>
      </c>
      <c r="F62" s="64" t="s">
        <v>73</v>
      </c>
      <c r="G62" s="68">
        <v>45583</v>
      </c>
      <c r="H62" s="57">
        <v>5500</v>
      </c>
      <c r="I62" s="61">
        <v>5500</v>
      </c>
      <c r="J62" s="69" t="s">
        <v>297</v>
      </c>
    </row>
    <row r="63" spans="1:10">
      <c r="A63" s="58">
        <v>62</v>
      </c>
      <c r="B63" s="57">
        <v>18062</v>
      </c>
      <c r="C63" s="57" t="s">
        <v>376</v>
      </c>
      <c r="D63" s="57" t="s">
        <v>377</v>
      </c>
      <c r="E63" s="57" t="s">
        <v>54</v>
      </c>
      <c r="F63" s="60" t="s">
        <v>330</v>
      </c>
      <c r="G63" s="68">
        <v>45362</v>
      </c>
      <c r="H63" s="57">
        <v>3200</v>
      </c>
      <c r="I63" s="61">
        <v>500</v>
      </c>
      <c r="J63" s="69" t="s">
        <v>310</v>
      </c>
    </row>
    <row r="64" spans="1:10">
      <c r="A64" s="58">
        <v>63</v>
      </c>
      <c r="B64" s="57">
        <v>18063</v>
      </c>
      <c r="C64" s="57" t="s">
        <v>378</v>
      </c>
      <c r="D64" s="57" t="s">
        <v>379</v>
      </c>
      <c r="E64" s="57" t="s">
        <v>32</v>
      </c>
      <c r="F64" s="60" t="s">
        <v>330</v>
      </c>
      <c r="G64" s="68">
        <v>45363</v>
      </c>
      <c r="H64" s="57">
        <v>3200</v>
      </c>
      <c r="I64" s="61">
        <v>2600</v>
      </c>
      <c r="J64" s="69" t="s">
        <v>297</v>
      </c>
    </row>
    <row r="65" spans="1:10">
      <c r="A65" s="58">
        <v>64</v>
      </c>
      <c r="B65" s="57">
        <v>18064</v>
      </c>
      <c r="C65" s="57" t="s">
        <v>380</v>
      </c>
      <c r="D65" s="57" t="s">
        <v>381</v>
      </c>
      <c r="E65" s="57" t="s">
        <v>32</v>
      </c>
      <c r="F65" s="60" t="s">
        <v>330</v>
      </c>
      <c r="G65" s="68">
        <v>45363</v>
      </c>
      <c r="H65" s="57">
        <v>3200</v>
      </c>
      <c r="I65" s="61">
        <v>3200</v>
      </c>
      <c r="J65" s="69" t="s">
        <v>310</v>
      </c>
    </row>
    <row r="66" spans="1:10">
      <c r="A66" s="58">
        <v>65</v>
      </c>
      <c r="B66" s="57">
        <v>18065</v>
      </c>
      <c r="C66" s="57" t="s">
        <v>382</v>
      </c>
      <c r="D66" s="57" t="s">
        <v>383</v>
      </c>
      <c r="E66" s="57" t="s">
        <v>54</v>
      </c>
      <c r="F66" s="60" t="s">
        <v>330</v>
      </c>
      <c r="G66" s="68">
        <v>45363</v>
      </c>
      <c r="H66" s="57">
        <v>3200</v>
      </c>
      <c r="I66" s="61">
        <v>2600</v>
      </c>
      <c r="J66" s="69" t="s">
        <v>322</v>
      </c>
    </row>
    <row r="67" spans="1:10">
      <c r="A67" s="58">
        <v>66</v>
      </c>
      <c r="B67" s="57">
        <v>18066</v>
      </c>
      <c r="C67" s="57" t="s">
        <v>384</v>
      </c>
      <c r="D67" s="57" t="s">
        <v>385</v>
      </c>
      <c r="E67" s="57" t="s">
        <v>32</v>
      </c>
      <c r="F67" s="60" t="s">
        <v>330</v>
      </c>
      <c r="G67" s="68">
        <v>45364</v>
      </c>
      <c r="H67" s="57">
        <v>3200</v>
      </c>
      <c r="I67" s="61">
        <v>2000</v>
      </c>
      <c r="J67" s="69" t="s">
        <v>337</v>
      </c>
    </row>
    <row r="68" spans="1:10">
      <c r="A68" s="58">
        <v>67</v>
      </c>
      <c r="B68" s="57">
        <v>18067</v>
      </c>
      <c r="C68" s="57" t="s">
        <v>386</v>
      </c>
      <c r="D68" s="57" t="s">
        <v>387</v>
      </c>
      <c r="E68" s="57" t="s">
        <v>32</v>
      </c>
      <c r="F68" s="60" t="s">
        <v>330</v>
      </c>
      <c r="G68" s="68">
        <v>45364</v>
      </c>
      <c r="H68" s="57">
        <v>3200</v>
      </c>
      <c r="I68" s="61">
        <v>3200</v>
      </c>
      <c r="J68" s="69" t="s">
        <v>300</v>
      </c>
    </row>
    <row r="69" spans="1:10">
      <c r="A69" s="58">
        <v>68</v>
      </c>
      <c r="B69" s="57">
        <v>18068</v>
      </c>
      <c r="C69" s="57" t="s">
        <v>388</v>
      </c>
      <c r="D69" s="57" t="s">
        <v>389</v>
      </c>
      <c r="E69" s="57" t="s">
        <v>54</v>
      </c>
      <c r="F69" s="60" t="s">
        <v>390</v>
      </c>
      <c r="G69" s="68">
        <v>45419</v>
      </c>
      <c r="H69" s="57">
        <v>7500</v>
      </c>
      <c r="I69" s="61">
        <v>6900</v>
      </c>
      <c r="J69" s="69" t="s">
        <v>35</v>
      </c>
    </row>
    <row r="70" spans="1:10">
      <c r="A70" s="58">
        <v>69</v>
      </c>
      <c r="B70" s="57">
        <v>18069</v>
      </c>
      <c r="C70" s="57" t="s">
        <v>391</v>
      </c>
      <c r="D70" s="57" t="s">
        <v>392</v>
      </c>
      <c r="E70" s="57" t="s">
        <v>32</v>
      </c>
      <c r="F70" s="60" t="s">
        <v>390</v>
      </c>
      <c r="G70" s="68">
        <v>45420</v>
      </c>
      <c r="H70" s="57">
        <v>7500</v>
      </c>
      <c r="I70" s="61">
        <v>7500</v>
      </c>
      <c r="J70" s="69" t="s">
        <v>88</v>
      </c>
    </row>
    <row r="71" spans="1:10">
      <c r="A71" s="58">
        <v>70</v>
      </c>
      <c r="B71" s="57">
        <v>18070</v>
      </c>
      <c r="C71" s="57" t="s">
        <v>393</v>
      </c>
      <c r="D71" s="57" t="s">
        <v>394</v>
      </c>
      <c r="E71" s="57" t="s">
        <v>32</v>
      </c>
      <c r="F71" s="60" t="s">
        <v>390</v>
      </c>
      <c r="G71" s="68">
        <v>45420</v>
      </c>
      <c r="H71" s="57">
        <v>7500</v>
      </c>
      <c r="I71" s="61">
        <v>7500</v>
      </c>
      <c r="J71" s="69" t="s">
        <v>306</v>
      </c>
    </row>
    <row r="72" spans="1:10">
      <c r="A72" s="58">
        <v>71</v>
      </c>
      <c r="B72" s="57">
        <v>18071</v>
      </c>
      <c r="C72" s="57" t="s">
        <v>395</v>
      </c>
      <c r="D72" s="57" t="s">
        <v>396</v>
      </c>
      <c r="E72" s="57" t="s">
        <v>32</v>
      </c>
      <c r="F72" s="60" t="s">
        <v>390</v>
      </c>
      <c r="G72" s="68">
        <v>45420</v>
      </c>
      <c r="H72" s="57">
        <v>7500</v>
      </c>
      <c r="I72" s="61">
        <v>7500</v>
      </c>
      <c r="J72" s="69" t="s">
        <v>325</v>
      </c>
    </row>
    <row r="73" spans="1:10">
      <c r="A73" s="58">
        <v>72</v>
      </c>
      <c r="B73" s="57">
        <v>18072</v>
      </c>
      <c r="C73" s="57" t="s">
        <v>397</v>
      </c>
      <c r="D73" s="57" t="s">
        <v>398</v>
      </c>
      <c r="E73" s="57" t="s">
        <v>32</v>
      </c>
      <c r="F73" s="60" t="s">
        <v>390</v>
      </c>
      <c r="G73" s="68">
        <v>45421</v>
      </c>
      <c r="H73" s="57">
        <v>7500</v>
      </c>
      <c r="I73" s="61">
        <v>6900</v>
      </c>
      <c r="J73" s="69" t="s">
        <v>295</v>
      </c>
    </row>
    <row r="74" spans="1:10">
      <c r="A74" s="58">
        <v>73</v>
      </c>
      <c r="B74" s="57">
        <v>18073</v>
      </c>
      <c r="C74" s="57" t="s">
        <v>399</v>
      </c>
      <c r="D74" s="57" t="s">
        <v>400</v>
      </c>
      <c r="E74" s="57" t="s">
        <v>54</v>
      </c>
      <c r="F74" s="60" t="s">
        <v>390</v>
      </c>
      <c r="G74" s="68">
        <v>45421</v>
      </c>
      <c r="H74" s="57">
        <v>7500</v>
      </c>
      <c r="I74" s="61">
        <v>7500</v>
      </c>
      <c r="J74" s="69" t="s">
        <v>297</v>
      </c>
    </row>
    <row r="75" spans="1:10">
      <c r="A75" s="58">
        <v>74</v>
      </c>
      <c r="B75" s="57">
        <v>18074</v>
      </c>
      <c r="C75" s="57" t="s">
        <v>401</v>
      </c>
      <c r="D75" s="57" t="s">
        <v>402</v>
      </c>
      <c r="E75" s="57" t="s">
        <v>32</v>
      </c>
      <c r="F75" s="60" t="s">
        <v>390</v>
      </c>
      <c r="G75" s="68">
        <v>45421</v>
      </c>
      <c r="H75" s="57">
        <v>7500</v>
      </c>
      <c r="I75" s="61">
        <v>6900</v>
      </c>
      <c r="J75" s="69" t="s">
        <v>310</v>
      </c>
    </row>
    <row r="76" spans="1:10">
      <c r="A76" s="58">
        <v>75</v>
      </c>
      <c r="B76" s="57">
        <v>18075</v>
      </c>
      <c r="C76" s="57" t="s">
        <v>403</v>
      </c>
      <c r="D76" s="57" t="s">
        <v>404</v>
      </c>
      <c r="E76" s="57" t="s">
        <v>54</v>
      </c>
      <c r="F76" s="60" t="s">
        <v>390</v>
      </c>
      <c r="G76" s="68">
        <v>45422</v>
      </c>
      <c r="H76" s="57">
        <v>7500</v>
      </c>
      <c r="I76" s="61">
        <v>7500</v>
      </c>
      <c r="J76" s="69" t="s">
        <v>322</v>
      </c>
    </row>
    <row r="77" spans="1:10">
      <c r="A77" s="58">
        <v>76</v>
      </c>
      <c r="B77" s="57">
        <v>18076</v>
      </c>
      <c r="C77" s="57" t="s">
        <v>405</v>
      </c>
      <c r="D77" s="57" t="s">
        <v>406</v>
      </c>
      <c r="E77" s="57" t="s">
        <v>54</v>
      </c>
      <c r="F77" s="60" t="s">
        <v>390</v>
      </c>
      <c r="G77" s="68">
        <v>45422</v>
      </c>
      <c r="H77" s="57">
        <v>7500</v>
      </c>
      <c r="I77" s="61">
        <v>7500</v>
      </c>
      <c r="J77" s="69" t="s">
        <v>337</v>
      </c>
    </row>
    <row r="78" spans="1:10">
      <c r="A78" s="58">
        <v>77</v>
      </c>
      <c r="B78" s="57">
        <v>18077</v>
      </c>
      <c r="C78" s="57" t="s">
        <v>407</v>
      </c>
      <c r="D78" s="57" t="s">
        <v>408</v>
      </c>
      <c r="E78" s="57" t="s">
        <v>32</v>
      </c>
      <c r="F78" s="60" t="s">
        <v>390</v>
      </c>
      <c r="G78" s="68">
        <v>45422</v>
      </c>
      <c r="H78" s="57">
        <v>7500</v>
      </c>
      <c r="I78" s="61">
        <v>7100</v>
      </c>
      <c r="J78" s="69" t="s">
        <v>300</v>
      </c>
    </row>
    <row r="79" spans="1:10">
      <c r="A79" s="58">
        <v>78</v>
      </c>
      <c r="B79" s="57">
        <v>18078</v>
      </c>
      <c r="C79" s="57" t="s">
        <v>409</v>
      </c>
      <c r="D79" s="57" t="s">
        <v>398</v>
      </c>
      <c r="E79" s="57" t="s">
        <v>32</v>
      </c>
      <c r="F79" s="60" t="s">
        <v>390</v>
      </c>
      <c r="G79" s="68">
        <v>45423</v>
      </c>
      <c r="H79" s="57">
        <v>7500</v>
      </c>
      <c r="I79" s="61">
        <v>6900</v>
      </c>
      <c r="J79" s="69" t="s">
        <v>35</v>
      </c>
    </row>
    <row r="80" spans="1:10">
      <c r="A80" s="58">
        <v>79</v>
      </c>
      <c r="B80" s="57">
        <v>18079</v>
      </c>
      <c r="C80" s="57" t="s">
        <v>410</v>
      </c>
      <c r="D80" s="57" t="s">
        <v>411</v>
      </c>
      <c r="E80" s="57" t="s">
        <v>32</v>
      </c>
      <c r="F80" s="60" t="s">
        <v>390</v>
      </c>
      <c r="G80" s="68">
        <v>45423</v>
      </c>
      <c r="H80" s="57">
        <v>7500</v>
      </c>
      <c r="I80" s="61">
        <v>6900</v>
      </c>
      <c r="J80" s="69" t="s">
        <v>88</v>
      </c>
    </row>
    <row r="81" spans="1:10">
      <c r="A81" s="58">
        <v>80</v>
      </c>
      <c r="B81" s="57">
        <v>18080</v>
      </c>
      <c r="C81" s="57" t="s">
        <v>412</v>
      </c>
      <c r="D81" s="57" t="s">
        <v>413</v>
      </c>
      <c r="E81" s="57" t="s">
        <v>32</v>
      </c>
      <c r="F81" s="60" t="s">
        <v>390</v>
      </c>
      <c r="G81" s="68">
        <v>45423</v>
      </c>
      <c r="H81" s="57">
        <v>7500</v>
      </c>
      <c r="I81" s="61">
        <v>7100</v>
      </c>
      <c r="J81" s="69" t="s">
        <v>306</v>
      </c>
    </row>
    <row r="82" spans="1:10">
      <c r="A82" s="58">
        <v>81</v>
      </c>
      <c r="B82" s="57">
        <v>18081</v>
      </c>
      <c r="C82" s="57" t="s">
        <v>414</v>
      </c>
      <c r="D82" s="57" t="s">
        <v>415</v>
      </c>
      <c r="E82" s="57" t="s">
        <v>32</v>
      </c>
      <c r="F82" s="60" t="s">
        <v>73</v>
      </c>
      <c r="G82" s="68">
        <v>45308</v>
      </c>
      <c r="H82" s="57">
        <v>5500</v>
      </c>
      <c r="I82" s="61">
        <v>4900</v>
      </c>
      <c r="J82" s="69" t="s">
        <v>325</v>
      </c>
    </row>
    <row r="83" spans="1:10">
      <c r="A83" s="58">
        <v>82</v>
      </c>
      <c r="B83" s="57">
        <v>18082</v>
      </c>
      <c r="C83" s="57" t="s">
        <v>416</v>
      </c>
      <c r="D83" s="58" t="s">
        <v>417</v>
      </c>
      <c r="E83" s="57" t="s">
        <v>32</v>
      </c>
      <c r="F83" s="60" t="s">
        <v>73</v>
      </c>
      <c r="G83" s="68">
        <v>45308</v>
      </c>
      <c r="H83" s="57">
        <v>5500</v>
      </c>
      <c r="I83" s="61">
        <v>5500</v>
      </c>
      <c r="J83" s="69" t="s">
        <v>295</v>
      </c>
    </row>
    <row r="84" spans="1:10">
      <c r="A84" s="58">
        <v>83</v>
      </c>
      <c r="B84" s="57">
        <v>18083</v>
      </c>
      <c r="C84" s="57" t="s">
        <v>418</v>
      </c>
      <c r="D84" s="57" t="s">
        <v>419</v>
      </c>
      <c r="E84" s="57" t="s">
        <v>32</v>
      </c>
      <c r="F84" s="60" t="s">
        <v>330</v>
      </c>
      <c r="G84" s="68">
        <v>45380</v>
      </c>
      <c r="H84" s="57">
        <v>3200</v>
      </c>
      <c r="I84" s="61">
        <v>2800</v>
      </c>
      <c r="J84" s="69" t="s">
        <v>297</v>
      </c>
    </row>
    <row r="85" spans="1:10">
      <c r="A85" s="58">
        <v>84</v>
      </c>
      <c r="B85" s="57">
        <v>18084</v>
      </c>
      <c r="C85" s="57" t="s">
        <v>420</v>
      </c>
      <c r="D85" s="57" t="s">
        <v>421</v>
      </c>
      <c r="E85" s="57" t="s">
        <v>54</v>
      </c>
      <c r="F85" s="60" t="s">
        <v>330</v>
      </c>
      <c r="G85" s="68">
        <v>45380</v>
      </c>
      <c r="H85" s="57">
        <v>3200</v>
      </c>
      <c r="I85" s="61">
        <v>2800</v>
      </c>
      <c r="J85" s="69" t="s">
        <v>310</v>
      </c>
    </row>
    <row r="86" spans="1:10">
      <c r="A86" s="58">
        <v>85</v>
      </c>
      <c r="B86" s="57">
        <v>18085</v>
      </c>
      <c r="C86" s="57" t="s">
        <v>422</v>
      </c>
      <c r="D86" s="57" t="s">
        <v>423</v>
      </c>
      <c r="E86" s="57" t="s">
        <v>32</v>
      </c>
      <c r="F86" s="60" t="s">
        <v>330</v>
      </c>
      <c r="G86" s="68">
        <v>45380</v>
      </c>
      <c r="H86" s="57">
        <v>3200</v>
      </c>
      <c r="I86" s="61">
        <v>3200</v>
      </c>
      <c r="J86" s="69" t="s">
        <v>322</v>
      </c>
    </row>
    <row r="87" spans="1:10">
      <c r="A87" s="58">
        <v>86</v>
      </c>
      <c r="B87" s="57">
        <v>18086</v>
      </c>
      <c r="C87" s="57" t="s">
        <v>424</v>
      </c>
      <c r="D87" s="57" t="s">
        <v>425</v>
      </c>
      <c r="E87" s="57" t="s">
        <v>32</v>
      </c>
      <c r="F87" s="60" t="s">
        <v>330</v>
      </c>
      <c r="G87" s="68">
        <v>45381</v>
      </c>
      <c r="H87" s="57">
        <v>3200</v>
      </c>
      <c r="I87" s="61">
        <v>3200</v>
      </c>
      <c r="J87" s="69" t="s">
        <v>337</v>
      </c>
    </row>
    <row r="88" spans="1:10">
      <c r="A88" s="58">
        <v>87</v>
      </c>
      <c r="B88" s="57">
        <v>18087</v>
      </c>
      <c r="C88" s="57" t="s">
        <v>426</v>
      </c>
      <c r="D88" s="57" t="s">
        <v>427</v>
      </c>
      <c r="E88" s="57" t="s">
        <v>54</v>
      </c>
      <c r="F88" s="60" t="s">
        <v>330</v>
      </c>
      <c r="G88" s="68">
        <v>45381</v>
      </c>
      <c r="H88" s="57">
        <v>3200</v>
      </c>
      <c r="I88" s="61">
        <v>2600</v>
      </c>
      <c r="J88" s="69" t="s">
        <v>300</v>
      </c>
    </row>
    <row r="89" spans="1:10">
      <c r="A89" s="58">
        <v>88</v>
      </c>
      <c r="B89" s="57">
        <v>18088</v>
      </c>
      <c r="C89" s="57" t="s">
        <v>428</v>
      </c>
      <c r="D89" s="57" t="s">
        <v>429</v>
      </c>
      <c r="E89" s="57" t="s">
        <v>54</v>
      </c>
      <c r="F89" s="60" t="s">
        <v>330</v>
      </c>
      <c r="G89" s="68">
        <v>45381</v>
      </c>
      <c r="H89" s="57">
        <v>3200</v>
      </c>
      <c r="I89" s="61">
        <v>2600</v>
      </c>
      <c r="J89" s="69" t="s">
        <v>322</v>
      </c>
    </row>
    <row r="90" spans="1:10">
      <c r="A90" s="58">
        <v>89</v>
      </c>
      <c r="B90" s="57">
        <v>18089</v>
      </c>
      <c r="C90" s="57" t="s">
        <v>53</v>
      </c>
      <c r="D90" s="57" t="s">
        <v>430</v>
      </c>
      <c r="E90" s="57" t="s">
        <v>32</v>
      </c>
      <c r="F90" s="60" t="s">
        <v>431</v>
      </c>
      <c r="G90" s="68">
        <v>45391</v>
      </c>
      <c r="H90" s="57">
        <v>1800</v>
      </c>
      <c r="I90" s="61">
        <v>1800</v>
      </c>
      <c r="J90" s="69" t="s">
        <v>322</v>
      </c>
    </row>
    <row r="91" spans="1:10">
      <c r="A91" s="58">
        <v>90</v>
      </c>
      <c r="B91" s="57">
        <v>18090</v>
      </c>
      <c r="C91" s="57" t="s">
        <v>298</v>
      </c>
      <c r="D91" s="58" t="s">
        <v>432</v>
      </c>
      <c r="E91" s="57" t="s">
        <v>32</v>
      </c>
      <c r="F91" s="60" t="s">
        <v>431</v>
      </c>
      <c r="G91" s="68">
        <v>45391</v>
      </c>
      <c r="H91" s="57">
        <v>1800</v>
      </c>
      <c r="I91" s="61">
        <v>1800</v>
      </c>
      <c r="J91" s="69" t="s">
        <v>297</v>
      </c>
    </row>
    <row r="92" spans="1:10">
      <c r="A92" s="58">
        <v>91</v>
      </c>
      <c r="B92" s="57">
        <v>18091</v>
      </c>
      <c r="C92" s="57" t="s">
        <v>433</v>
      </c>
      <c r="D92" s="57" t="s">
        <v>434</v>
      </c>
      <c r="E92" s="57" t="s">
        <v>54</v>
      </c>
      <c r="F92" s="60" t="s">
        <v>390</v>
      </c>
      <c r="G92" s="68">
        <v>45437</v>
      </c>
      <c r="H92" s="57">
        <v>7500</v>
      </c>
      <c r="I92" s="61">
        <v>6900</v>
      </c>
      <c r="J92" s="69" t="s">
        <v>310</v>
      </c>
    </row>
    <row r="93" spans="1:10">
      <c r="A93" s="58">
        <v>92</v>
      </c>
      <c r="B93" s="57">
        <v>18092</v>
      </c>
      <c r="C93" s="57" t="s">
        <v>435</v>
      </c>
      <c r="D93" s="57" t="s">
        <v>436</v>
      </c>
      <c r="E93" s="57" t="s">
        <v>32</v>
      </c>
      <c r="F93" s="60" t="s">
        <v>390</v>
      </c>
      <c r="G93" s="68">
        <v>45439</v>
      </c>
      <c r="H93" s="57">
        <v>7500</v>
      </c>
      <c r="I93" s="61">
        <v>7500</v>
      </c>
      <c r="J93" s="69" t="s">
        <v>297</v>
      </c>
    </row>
    <row r="94" spans="1:10">
      <c r="A94" s="58">
        <v>93</v>
      </c>
      <c r="B94" s="57">
        <v>18093</v>
      </c>
      <c r="C94" s="57" t="s">
        <v>437</v>
      </c>
      <c r="D94" s="57" t="s">
        <v>87</v>
      </c>
      <c r="E94" s="57" t="s">
        <v>32</v>
      </c>
      <c r="F94" s="60" t="s">
        <v>390</v>
      </c>
      <c r="G94" s="68">
        <v>45439</v>
      </c>
      <c r="H94" s="57">
        <v>7500</v>
      </c>
      <c r="I94" s="61">
        <v>500</v>
      </c>
      <c r="J94" s="69" t="s">
        <v>310</v>
      </c>
    </row>
    <row r="95" spans="1:10">
      <c r="A95" s="58">
        <v>94</v>
      </c>
      <c r="B95" s="57">
        <v>18094</v>
      </c>
      <c r="C95" s="57" t="s">
        <v>438</v>
      </c>
      <c r="D95" s="62" t="s">
        <v>84</v>
      </c>
      <c r="E95" s="57" t="s">
        <v>32</v>
      </c>
      <c r="F95" s="60" t="s">
        <v>390</v>
      </c>
      <c r="G95" s="68">
        <v>45439</v>
      </c>
      <c r="H95" s="57">
        <v>7500</v>
      </c>
      <c r="I95" s="61">
        <v>7500</v>
      </c>
      <c r="J95" s="69" t="s">
        <v>322</v>
      </c>
    </row>
    <row r="96" spans="1:10">
      <c r="A96" s="58">
        <v>95</v>
      </c>
      <c r="B96" s="57">
        <v>18095</v>
      </c>
      <c r="C96" s="57" t="s">
        <v>439</v>
      </c>
      <c r="D96" s="57" t="s">
        <v>440</v>
      </c>
      <c r="E96" s="57" t="s">
        <v>32</v>
      </c>
      <c r="F96" s="60" t="s">
        <v>390</v>
      </c>
      <c r="G96" s="68">
        <v>45440</v>
      </c>
      <c r="H96" s="57">
        <v>7500</v>
      </c>
      <c r="I96" s="61">
        <v>6900</v>
      </c>
      <c r="J96" s="69" t="s">
        <v>337</v>
      </c>
    </row>
    <row r="97" spans="1:10">
      <c r="A97" s="58">
        <v>96</v>
      </c>
      <c r="B97" s="57">
        <v>18096</v>
      </c>
      <c r="C97" s="57" t="s">
        <v>441</v>
      </c>
      <c r="D97" s="57" t="s">
        <v>442</v>
      </c>
      <c r="E97" s="57" t="s">
        <v>32</v>
      </c>
      <c r="F97" s="60" t="s">
        <v>330</v>
      </c>
      <c r="G97" s="68">
        <v>45440</v>
      </c>
      <c r="H97" s="57">
        <v>3200</v>
      </c>
      <c r="I97" s="61">
        <v>3200</v>
      </c>
      <c r="J97" s="69" t="s">
        <v>300</v>
      </c>
    </row>
    <row r="98" spans="1:10">
      <c r="A98" s="58">
        <v>97</v>
      </c>
      <c r="B98" s="57">
        <v>18097</v>
      </c>
      <c r="C98" s="57" t="s">
        <v>414</v>
      </c>
      <c r="D98" s="57" t="s">
        <v>443</v>
      </c>
      <c r="E98" s="57" t="s">
        <v>54</v>
      </c>
      <c r="F98" s="60" t="s">
        <v>294</v>
      </c>
      <c r="G98" s="68">
        <v>45547</v>
      </c>
      <c r="H98" s="57">
        <v>4400</v>
      </c>
      <c r="I98" s="61">
        <v>3800</v>
      </c>
      <c r="J98" s="69" t="s">
        <v>35</v>
      </c>
    </row>
    <row r="99" spans="1:10">
      <c r="A99" s="58">
        <v>98</v>
      </c>
      <c r="B99" s="57">
        <v>18098</v>
      </c>
      <c r="C99" s="57" t="s">
        <v>416</v>
      </c>
      <c r="D99" s="57" t="s">
        <v>444</v>
      </c>
      <c r="E99" s="57" t="s">
        <v>32</v>
      </c>
      <c r="F99" s="60" t="s">
        <v>294</v>
      </c>
      <c r="G99" s="68">
        <v>45570</v>
      </c>
      <c r="H99" s="57">
        <v>4400</v>
      </c>
      <c r="I99" s="61">
        <v>3800</v>
      </c>
      <c r="J99" s="69" t="s">
        <v>88</v>
      </c>
    </row>
    <row r="100" spans="1:10">
      <c r="A100" s="58">
        <v>99</v>
      </c>
      <c r="B100" s="57">
        <v>18099</v>
      </c>
      <c r="C100" s="57" t="s">
        <v>445</v>
      </c>
      <c r="D100" s="57" t="s">
        <v>446</v>
      </c>
      <c r="E100" s="57" t="s">
        <v>32</v>
      </c>
      <c r="F100" s="60" t="s">
        <v>73</v>
      </c>
      <c r="G100" s="68">
        <v>45314</v>
      </c>
      <c r="H100" s="57">
        <v>5500</v>
      </c>
      <c r="I100" s="61">
        <v>4900</v>
      </c>
      <c r="J100" s="69" t="s">
        <v>306</v>
      </c>
    </row>
    <row r="101" spans="1:10">
      <c r="A101" s="58">
        <v>100</v>
      </c>
      <c r="B101" s="57">
        <v>18100</v>
      </c>
      <c r="C101" s="57" t="s">
        <v>447</v>
      </c>
      <c r="D101" s="57" t="s">
        <v>448</v>
      </c>
      <c r="E101" s="57" t="s">
        <v>32</v>
      </c>
      <c r="F101" s="60" t="s">
        <v>73</v>
      </c>
      <c r="G101" s="68">
        <v>45314</v>
      </c>
      <c r="H101" s="57">
        <v>5500</v>
      </c>
      <c r="I101" s="61">
        <v>4900</v>
      </c>
      <c r="J101" s="69" t="s">
        <v>325</v>
      </c>
    </row>
    <row r="102" spans="1:10">
      <c r="A102" s="58">
        <v>101</v>
      </c>
      <c r="B102" s="57">
        <v>18101</v>
      </c>
      <c r="C102" s="57" t="s">
        <v>449</v>
      </c>
      <c r="D102" s="57" t="s">
        <v>450</v>
      </c>
      <c r="E102" s="57" t="s">
        <v>32</v>
      </c>
      <c r="F102" s="60" t="s">
        <v>73</v>
      </c>
      <c r="G102" s="68">
        <v>45314</v>
      </c>
      <c r="H102" s="57">
        <v>5500</v>
      </c>
      <c r="I102" s="61">
        <v>5500</v>
      </c>
      <c r="J102" s="69" t="s">
        <v>295</v>
      </c>
    </row>
    <row r="103" spans="1:10">
      <c r="A103" s="58">
        <v>102</v>
      </c>
      <c r="B103" s="57">
        <v>18102</v>
      </c>
      <c r="C103" s="57" t="s">
        <v>451</v>
      </c>
      <c r="D103" s="57" t="s">
        <v>452</v>
      </c>
      <c r="E103" s="57" t="s">
        <v>54</v>
      </c>
      <c r="F103" s="60" t="s">
        <v>73</v>
      </c>
      <c r="G103" s="68">
        <v>45315</v>
      </c>
      <c r="H103" s="57">
        <v>5500</v>
      </c>
      <c r="I103" s="61">
        <v>4400</v>
      </c>
      <c r="J103" s="69" t="s">
        <v>297</v>
      </c>
    </row>
    <row r="104" spans="1:10">
      <c r="A104" s="58">
        <v>103</v>
      </c>
      <c r="B104" s="57">
        <v>18103</v>
      </c>
      <c r="C104" s="57" t="s">
        <v>453</v>
      </c>
      <c r="D104" s="57" t="s">
        <v>351</v>
      </c>
      <c r="E104" s="57" t="s">
        <v>54</v>
      </c>
      <c r="F104" s="60" t="s">
        <v>73</v>
      </c>
      <c r="G104" s="68">
        <v>45315</v>
      </c>
      <c r="H104" s="57">
        <v>5500</v>
      </c>
      <c r="I104" s="61">
        <v>5500</v>
      </c>
      <c r="J104" s="69" t="s">
        <v>310</v>
      </c>
    </row>
    <row r="105" spans="1:10">
      <c r="A105" s="58">
        <v>104</v>
      </c>
      <c r="B105" s="57">
        <v>18104</v>
      </c>
      <c r="C105" s="57" t="s">
        <v>454</v>
      </c>
      <c r="D105" s="57" t="s">
        <v>455</v>
      </c>
      <c r="E105" s="57" t="s">
        <v>32</v>
      </c>
      <c r="F105" s="60" t="s">
        <v>73</v>
      </c>
      <c r="G105" s="68">
        <v>45316</v>
      </c>
      <c r="H105" s="57">
        <v>5500</v>
      </c>
      <c r="I105" s="61">
        <v>5100</v>
      </c>
      <c r="J105" s="69" t="s">
        <v>322</v>
      </c>
    </row>
    <row r="106" spans="1:10">
      <c r="A106" s="58">
        <v>105</v>
      </c>
      <c r="B106" s="57">
        <v>18105</v>
      </c>
      <c r="C106" s="57" t="s">
        <v>456</v>
      </c>
      <c r="D106" s="57" t="s">
        <v>457</v>
      </c>
      <c r="E106" s="57" t="s">
        <v>32</v>
      </c>
      <c r="F106" s="60" t="s">
        <v>73</v>
      </c>
      <c r="G106" s="68">
        <v>45316</v>
      </c>
      <c r="H106" s="57">
        <v>5500</v>
      </c>
      <c r="I106" s="61">
        <v>5100</v>
      </c>
      <c r="J106" s="69" t="s">
        <v>337</v>
      </c>
    </row>
    <row r="107" spans="1:10">
      <c r="A107" s="58">
        <v>106</v>
      </c>
      <c r="B107" s="57">
        <v>18106</v>
      </c>
      <c r="C107" s="57" t="s">
        <v>458</v>
      </c>
      <c r="D107" s="58" t="s">
        <v>459</v>
      </c>
      <c r="E107" s="57" t="s">
        <v>54</v>
      </c>
      <c r="F107" s="60" t="s">
        <v>73</v>
      </c>
      <c r="G107" s="68">
        <v>45316</v>
      </c>
      <c r="H107" s="57">
        <v>5500</v>
      </c>
      <c r="I107" s="61">
        <v>5500</v>
      </c>
      <c r="J107" s="69" t="s">
        <v>300</v>
      </c>
    </row>
    <row r="108" spans="1:10">
      <c r="A108" s="58">
        <v>107</v>
      </c>
      <c r="B108" s="57">
        <v>18107</v>
      </c>
      <c r="C108" s="57" t="s">
        <v>460</v>
      </c>
      <c r="D108" s="57" t="s">
        <v>461</v>
      </c>
      <c r="E108" s="57" t="s">
        <v>32</v>
      </c>
      <c r="F108" s="60" t="s">
        <v>73</v>
      </c>
      <c r="G108" s="68">
        <v>45317</v>
      </c>
      <c r="H108" s="57">
        <v>5500</v>
      </c>
      <c r="I108" s="61">
        <v>4900</v>
      </c>
      <c r="J108" s="69" t="s">
        <v>35</v>
      </c>
    </row>
    <row r="109" spans="1:10">
      <c r="A109" s="58">
        <v>108</v>
      </c>
      <c r="B109" s="57">
        <v>18108</v>
      </c>
      <c r="C109" s="57" t="s">
        <v>462</v>
      </c>
      <c r="D109" s="57" t="s">
        <v>365</v>
      </c>
      <c r="E109" s="57" t="s">
        <v>54</v>
      </c>
      <c r="F109" s="60" t="s">
        <v>73</v>
      </c>
      <c r="G109" s="68">
        <v>45317</v>
      </c>
      <c r="H109" s="57">
        <v>5500</v>
      </c>
      <c r="I109" s="61">
        <v>5500</v>
      </c>
      <c r="J109" s="69" t="s">
        <v>88</v>
      </c>
    </row>
    <row r="110" spans="1:10">
      <c r="A110" s="58">
        <v>109</v>
      </c>
      <c r="B110" s="57">
        <v>18109</v>
      </c>
      <c r="C110" s="57" t="s">
        <v>463</v>
      </c>
      <c r="D110" s="57" t="s">
        <v>464</v>
      </c>
      <c r="E110" s="57" t="s">
        <v>32</v>
      </c>
      <c r="F110" s="60" t="s">
        <v>73</v>
      </c>
      <c r="G110" s="68">
        <v>45317</v>
      </c>
      <c r="H110" s="57">
        <v>5500</v>
      </c>
      <c r="I110" s="61">
        <v>4500</v>
      </c>
      <c r="J110" s="69" t="s">
        <v>306</v>
      </c>
    </row>
    <row r="111" spans="1:10">
      <c r="A111" s="58">
        <v>110</v>
      </c>
      <c r="B111" s="57">
        <v>18110</v>
      </c>
      <c r="C111" s="57" t="s">
        <v>465</v>
      </c>
      <c r="D111" s="57" t="s">
        <v>466</v>
      </c>
      <c r="E111" s="57" t="s">
        <v>32</v>
      </c>
      <c r="F111" s="60" t="s">
        <v>73</v>
      </c>
      <c r="G111" s="68">
        <v>45317</v>
      </c>
      <c r="H111" s="57">
        <v>5500</v>
      </c>
      <c r="I111" s="61">
        <v>4900</v>
      </c>
      <c r="J111" s="69" t="s">
        <v>325</v>
      </c>
    </row>
    <row r="112" spans="1:10">
      <c r="A112" s="58">
        <v>111</v>
      </c>
      <c r="B112" s="57">
        <v>18111</v>
      </c>
      <c r="C112" s="57" t="s">
        <v>467</v>
      </c>
      <c r="D112" s="57" t="s">
        <v>365</v>
      </c>
      <c r="E112" s="57" t="s">
        <v>54</v>
      </c>
      <c r="F112" s="60" t="s">
        <v>73</v>
      </c>
      <c r="G112" s="68">
        <v>45318</v>
      </c>
      <c r="H112" s="57">
        <v>5500</v>
      </c>
      <c r="I112" s="61">
        <v>5500</v>
      </c>
      <c r="J112" s="69" t="s">
        <v>295</v>
      </c>
    </row>
    <row r="113" spans="1:10">
      <c r="A113" s="58">
        <v>112</v>
      </c>
      <c r="B113" s="57">
        <v>18112</v>
      </c>
      <c r="C113" s="57" t="s">
        <v>468</v>
      </c>
      <c r="D113" s="57" t="s">
        <v>469</v>
      </c>
      <c r="E113" s="57" t="s">
        <v>54</v>
      </c>
      <c r="F113" s="60" t="s">
        <v>73</v>
      </c>
      <c r="G113" s="68">
        <v>45318</v>
      </c>
      <c r="H113" s="57">
        <v>5500</v>
      </c>
      <c r="I113" s="61">
        <v>4900</v>
      </c>
      <c r="J113" s="69" t="s">
        <v>297</v>
      </c>
    </row>
    <row r="114" spans="1:10">
      <c r="A114" s="58">
        <v>113</v>
      </c>
      <c r="B114" s="57">
        <v>18113</v>
      </c>
      <c r="C114" s="57" t="s">
        <v>470</v>
      </c>
      <c r="D114" s="57" t="s">
        <v>471</v>
      </c>
      <c r="E114" s="57" t="s">
        <v>32</v>
      </c>
      <c r="F114" s="60" t="s">
        <v>73</v>
      </c>
      <c r="G114" s="68">
        <v>45320</v>
      </c>
      <c r="H114" s="57">
        <v>5500</v>
      </c>
      <c r="I114" s="61">
        <v>5500</v>
      </c>
      <c r="J114" s="69" t="s">
        <v>310</v>
      </c>
    </row>
    <row r="115" spans="1:10">
      <c r="A115" s="58">
        <v>114</v>
      </c>
      <c r="B115" s="57">
        <v>18114</v>
      </c>
      <c r="C115" s="57" t="s">
        <v>472</v>
      </c>
      <c r="D115" s="57" t="s">
        <v>466</v>
      </c>
      <c r="E115" s="57" t="s">
        <v>32</v>
      </c>
      <c r="F115" s="60" t="s">
        <v>73</v>
      </c>
      <c r="G115" s="68">
        <v>45320</v>
      </c>
      <c r="H115" s="57">
        <v>5500</v>
      </c>
      <c r="I115" s="61">
        <v>4900</v>
      </c>
      <c r="J115" s="69" t="s">
        <v>322</v>
      </c>
    </row>
    <row r="116" spans="1:10">
      <c r="A116" s="58">
        <v>115</v>
      </c>
      <c r="B116" s="57">
        <v>18115</v>
      </c>
      <c r="C116" s="57" t="s">
        <v>473</v>
      </c>
      <c r="D116" s="57" t="s">
        <v>474</v>
      </c>
      <c r="E116" s="57" t="s">
        <v>32</v>
      </c>
      <c r="F116" s="60" t="s">
        <v>73</v>
      </c>
      <c r="G116" s="68">
        <v>45320</v>
      </c>
      <c r="H116" s="57">
        <v>5500</v>
      </c>
      <c r="I116" s="61">
        <v>5500</v>
      </c>
      <c r="J116" s="69" t="s">
        <v>337</v>
      </c>
    </row>
    <row r="117" spans="1:10">
      <c r="A117" s="58">
        <v>116</v>
      </c>
      <c r="B117" s="57">
        <v>18116</v>
      </c>
      <c r="C117" s="57" t="s">
        <v>475</v>
      </c>
      <c r="D117" s="57" t="s">
        <v>476</v>
      </c>
      <c r="E117" s="57" t="s">
        <v>32</v>
      </c>
      <c r="F117" s="60" t="s">
        <v>73</v>
      </c>
      <c r="G117" s="68">
        <v>45321</v>
      </c>
      <c r="H117" s="57">
        <v>5500</v>
      </c>
      <c r="I117" s="61">
        <v>5500</v>
      </c>
      <c r="J117" s="69" t="s">
        <v>300</v>
      </c>
    </row>
    <row r="118" spans="1:10">
      <c r="A118" s="58">
        <v>117</v>
      </c>
      <c r="B118" s="57">
        <v>18117</v>
      </c>
      <c r="C118" s="57" t="s">
        <v>477</v>
      </c>
      <c r="D118" s="57" t="s">
        <v>478</v>
      </c>
      <c r="E118" s="57" t="s">
        <v>54</v>
      </c>
      <c r="F118" s="60" t="s">
        <v>73</v>
      </c>
      <c r="G118" s="68">
        <v>45321</v>
      </c>
      <c r="H118" s="57">
        <v>5500</v>
      </c>
      <c r="I118" s="61">
        <v>5100</v>
      </c>
      <c r="J118" s="69" t="s">
        <v>322</v>
      </c>
    </row>
    <row r="119" spans="1:10">
      <c r="A119" s="58">
        <v>118</v>
      </c>
      <c r="B119" s="57">
        <v>18118</v>
      </c>
      <c r="C119" s="57" t="s">
        <v>479</v>
      </c>
      <c r="D119" s="57" t="s">
        <v>480</v>
      </c>
      <c r="E119" s="57" t="s">
        <v>32</v>
      </c>
      <c r="F119" s="60" t="s">
        <v>73</v>
      </c>
      <c r="G119" s="68">
        <v>45321</v>
      </c>
      <c r="H119" s="57">
        <v>5500</v>
      </c>
      <c r="I119" s="61">
        <v>5100</v>
      </c>
      <c r="J119" s="69" t="s">
        <v>322</v>
      </c>
    </row>
    <row r="120" spans="1:10">
      <c r="A120" s="58">
        <v>119</v>
      </c>
      <c r="B120" s="57">
        <v>18119</v>
      </c>
      <c r="C120" s="57" t="s">
        <v>481</v>
      </c>
      <c r="D120" s="57" t="s">
        <v>482</v>
      </c>
      <c r="E120" s="57" t="s">
        <v>54</v>
      </c>
      <c r="F120" s="60" t="s">
        <v>73</v>
      </c>
      <c r="G120" s="68">
        <v>45322</v>
      </c>
      <c r="H120" s="57">
        <v>5500</v>
      </c>
      <c r="I120" s="61">
        <v>4900</v>
      </c>
      <c r="J120" s="69" t="s">
        <v>297</v>
      </c>
    </row>
    <row r="121" spans="1:10">
      <c r="A121" s="58">
        <v>120</v>
      </c>
      <c r="B121" s="57">
        <v>18120</v>
      </c>
      <c r="C121" s="57" t="s">
        <v>449</v>
      </c>
      <c r="D121" s="57" t="s">
        <v>483</v>
      </c>
      <c r="E121" s="57" t="s">
        <v>32</v>
      </c>
      <c r="F121" s="60" t="s">
        <v>294</v>
      </c>
      <c r="G121" s="68">
        <v>45548</v>
      </c>
      <c r="H121" s="57">
        <v>4400</v>
      </c>
      <c r="I121" s="61">
        <v>4400</v>
      </c>
      <c r="J121" s="69" t="s">
        <v>310</v>
      </c>
    </row>
    <row r="122" spans="1:10">
      <c r="A122" s="58">
        <v>121</v>
      </c>
      <c r="B122" s="57">
        <v>18121</v>
      </c>
      <c r="C122" s="57" t="s">
        <v>465</v>
      </c>
      <c r="D122" s="57" t="s">
        <v>484</v>
      </c>
      <c r="E122" s="57" t="s">
        <v>54</v>
      </c>
      <c r="F122" s="60" t="s">
        <v>294</v>
      </c>
      <c r="G122" s="68">
        <v>45548</v>
      </c>
      <c r="H122" s="57">
        <v>4400</v>
      </c>
      <c r="I122" s="61">
        <v>4400</v>
      </c>
      <c r="J122" s="69" t="s">
        <v>310</v>
      </c>
    </row>
    <row r="123" spans="1:10">
      <c r="A123" s="58">
        <v>122</v>
      </c>
      <c r="B123" s="57">
        <v>18122</v>
      </c>
      <c r="C123" s="57" t="s">
        <v>467</v>
      </c>
      <c r="D123" s="57" t="s">
        <v>485</v>
      </c>
      <c r="E123" s="57" t="s">
        <v>32</v>
      </c>
      <c r="F123" s="60" t="s">
        <v>294</v>
      </c>
      <c r="G123" s="68">
        <v>45549</v>
      </c>
      <c r="H123" s="57">
        <v>4400</v>
      </c>
      <c r="I123" s="61">
        <v>4000</v>
      </c>
      <c r="J123" s="69" t="s">
        <v>325</v>
      </c>
    </row>
    <row r="124" spans="1:10">
      <c r="A124" s="58">
        <v>123</v>
      </c>
      <c r="B124" s="57">
        <v>18123</v>
      </c>
      <c r="C124" s="57" t="s">
        <v>470</v>
      </c>
      <c r="D124" s="57" t="s">
        <v>486</v>
      </c>
      <c r="E124" s="57" t="s">
        <v>32</v>
      </c>
      <c r="F124" s="60" t="s">
        <v>294</v>
      </c>
      <c r="G124" s="68">
        <v>45549</v>
      </c>
      <c r="H124" s="57">
        <v>4400</v>
      </c>
      <c r="I124" s="61">
        <v>4000</v>
      </c>
      <c r="J124" s="69" t="s">
        <v>295</v>
      </c>
    </row>
    <row r="125" spans="1:10">
      <c r="A125" s="58">
        <v>124</v>
      </c>
      <c r="B125" s="57">
        <v>18124</v>
      </c>
      <c r="C125" s="57" t="s">
        <v>453</v>
      </c>
      <c r="D125" s="57" t="s">
        <v>484</v>
      </c>
      <c r="E125" s="57" t="s">
        <v>32</v>
      </c>
      <c r="F125" s="60" t="s">
        <v>294</v>
      </c>
      <c r="G125" s="68">
        <v>45549</v>
      </c>
      <c r="H125" s="57">
        <v>4400</v>
      </c>
      <c r="I125" s="61">
        <v>3800</v>
      </c>
      <c r="J125" s="69" t="s">
        <v>297</v>
      </c>
    </row>
    <row r="126" spans="1:10">
      <c r="A126" s="58">
        <v>125</v>
      </c>
      <c r="B126" s="57">
        <v>18125</v>
      </c>
      <c r="C126" s="57" t="s">
        <v>468</v>
      </c>
      <c r="D126" s="57" t="s">
        <v>487</v>
      </c>
      <c r="E126" s="57" t="s">
        <v>54</v>
      </c>
      <c r="F126" s="60" t="s">
        <v>294</v>
      </c>
      <c r="G126" s="68">
        <v>45551</v>
      </c>
      <c r="H126" s="57">
        <v>4400</v>
      </c>
      <c r="I126" s="61">
        <v>4400</v>
      </c>
      <c r="J126" s="69" t="s">
        <v>310</v>
      </c>
    </row>
    <row r="127" spans="1:10">
      <c r="A127" s="58">
        <v>126</v>
      </c>
      <c r="B127" s="57">
        <v>18126</v>
      </c>
      <c r="C127" s="57" t="s">
        <v>458</v>
      </c>
      <c r="D127" s="58" t="s">
        <v>488</v>
      </c>
      <c r="E127" s="57" t="s">
        <v>32</v>
      </c>
      <c r="F127" s="60" t="s">
        <v>294</v>
      </c>
      <c r="G127" s="68">
        <v>45551</v>
      </c>
      <c r="H127" s="57">
        <v>4400</v>
      </c>
      <c r="I127" s="61">
        <v>3800</v>
      </c>
      <c r="J127" s="69" t="s">
        <v>322</v>
      </c>
    </row>
    <row r="128" spans="1:10">
      <c r="A128" s="58">
        <v>127</v>
      </c>
      <c r="B128" s="57">
        <v>18127</v>
      </c>
      <c r="C128" s="57" t="s">
        <v>460</v>
      </c>
      <c r="D128" s="57" t="s">
        <v>489</v>
      </c>
      <c r="E128" s="57" t="s">
        <v>32</v>
      </c>
      <c r="F128" s="60" t="s">
        <v>294</v>
      </c>
      <c r="G128" s="68">
        <v>45552</v>
      </c>
      <c r="H128" s="57">
        <v>4400</v>
      </c>
      <c r="I128" s="61">
        <v>3800</v>
      </c>
      <c r="J128" s="69" t="s">
        <v>337</v>
      </c>
    </row>
    <row r="129" spans="1:10">
      <c r="A129" s="58">
        <v>128</v>
      </c>
      <c r="B129" s="57">
        <v>18128</v>
      </c>
      <c r="C129" s="57" t="s">
        <v>475</v>
      </c>
      <c r="D129" s="57" t="s">
        <v>490</v>
      </c>
      <c r="E129" s="57" t="s">
        <v>32</v>
      </c>
      <c r="F129" s="60" t="s">
        <v>294</v>
      </c>
      <c r="G129" s="68">
        <v>45552</v>
      </c>
      <c r="H129" s="57">
        <v>4400</v>
      </c>
      <c r="I129" s="61">
        <v>3800</v>
      </c>
      <c r="J129" s="69" t="s">
        <v>300</v>
      </c>
    </row>
    <row r="130" spans="1:10">
      <c r="A130" s="58">
        <v>129</v>
      </c>
      <c r="B130" s="57">
        <v>18129</v>
      </c>
      <c r="C130" s="57" t="s">
        <v>447</v>
      </c>
      <c r="D130" s="57" t="s">
        <v>491</v>
      </c>
      <c r="E130" s="57" t="s">
        <v>54</v>
      </c>
      <c r="F130" s="60" t="s">
        <v>294</v>
      </c>
      <c r="G130" s="68">
        <v>45552</v>
      </c>
      <c r="H130" s="57">
        <v>4400</v>
      </c>
      <c r="I130" s="61">
        <v>4400</v>
      </c>
      <c r="J130" s="69" t="s">
        <v>322</v>
      </c>
    </row>
    <row r="131" spans="1:10">
      <c r="A131" s="58">
        <v>130</v>
      </c>
      <c r="B131" s="57">
        <v>18130</v>
      </c>
      <c r="C131" s="57" t="s">
        <v>473</v>
      </c>
      <c r="D131" s="58" t="s">
        <v>492</v>
      </c>
      <c r="E131" s="57" t="s">
        <v>32</v>
      </c>
      <c r="F131" s="60" t="s">
        <v>294</v>
      </c>
      <c r="G131" s="68">
        <v>45553</v>
      </c>
      <c r="H131" s="57">
        <v>4400</v>
      </c>
      <c r="I131" s="61">
        <v>4400</v>
      </c>
      <c r="J131" s="69" t="s">
        <v>322</v>
      </c>
    </row>
    <row r="132" spans="1:10">
      <c r="A132" s="58">
        <v>131</v>
      </c>
      <c r="B132" s="57">
        <v>18131</v>
      </c>
      <c r="C132" s="57" t="s">
        <v>456</v>
      </c>
      <c r="D132" s="57" t="s">
        <v>493</v>
      </c>
      <c r="E132" s="57" t="s">
        <v>54</v>
      </c>
      <c r="F132" s="60" t="s">
        <v>294</v>
      </c>
      <c r="G132" s="68">
        <v>45554</v>
      </c>
      <c r="H132" s="57">
        <v>4400</v>
      </c>
      <c r="I132" s="61">
        <v>4000</v>
      </c>
      <c r="J132" s="69" t="s">
        <v>297</v>
      </c>
    </row>
    <row r="133" spans="1:10">
      <c r="A133" s="58">
        <v>132</v>
      </c>
      <c r="B133" s="57">
        <v>18132</v>
      </c>
      <c r="C133" s="57" t="s">
        <v>479</v>
      </c>
      <c r="D133" s="57" t="s">
        <v>494</v>
      </c>
      <c r="E133" s="57" t="s">
        <v>54</v>
      </c>
      <c r="F133" s="60" t="s">
        <v>294</v>
      </c>
      <c r="G133" s="68">
        <v>45554</v>
      </c>
      <c r="H133" s="57">
        <v>4400</v>
      </c>
      <c r="I133" s="61">
        <v>4000</v>
      </c>
      <c r="J133" s="69" t="s">
        <v>310</v>
      </c>
    </row>
    <row r="134" spans="1:10">
      <c r="A134" s="58">
        <v>133</v>
      </c>
      <c r="B134" s="57">
        <v>18133</v>
      </c>
      <c r="C134" s="57" t="s">
        <v>454</v>
      </c>
      <c r="D134" s="57" t="s">
        <v>495</v>
      </c>
      <c r="E134" s="57" t="s">
        <v>32</v>
      </c>
      <c r="F134" s="60" t="s">
        <v>294</v>
      </c>
      <c r="G134" s="68">
        <v>45555</v>
      </c>
      <c r="H134" s="57">
        <v>4400</v>
      </c>
      <c r="I134" s="61">
        <v>4400</v>
      </c>
      <c r="J134" s="69" t="s">
        <v>297</v>
      </c>
    </row>
    <row r="135" spans="1:10">
      <c r="A135" s="58">
        <v>134</v>
      </c>
      <c r="B135" s="57">
        <v>18134</v>
      </c>
      <c r="C135" s="57" t="s">
        <v>445</v>
      </c>
      <c r="D135" s="57" t="s">
        <v>496</v>
      </c>
      <c r="E135" s="57" t="s">
        <v>32</v>
      </c>
      <c r="F135" s="60" t="s">
        <v>294</v>
      </c>
      <c r="G135" s="68">
        <v>45556</v>
      </c>
      <c r="H135" s="57">
        <v>4400</v>
      </c>
      <c r="I135" s="61">
        <v>4400</v>
      </c>
      <c r="J135" s="69" t="s">
        <v>310</v>
      </c>
    </row>
    <row r="136" spans="1:10">
      <c r="A136" s="58">
        <v>135</v>
      </c>
      <c r="B136" s="57">
        <v>18135</v>
      </c>
      <c r="C136" s="57" t="s">
        <v>472</v>
      </c>
      <c r="D136" s="57" t="s">
        <v>497</v>
      </c>
      <c r="E136" s="57" t="s">
        <v>54</v>
      </c>
      <c r="F136" s="60" t="s">
        <v>294</v>
      </c>
      <c r="G136" s="68">
        <v>45558</v>
      </c>
      <c r="H136" s="57">
        <v>4400</v>
      </c>
      <c r="I136" s="61">
        <v>4400</v>
      </c>
      <c r="J136" s="69" t="s">
        <v>322</v>
      </c>
    </row>
    <row r="137" spans="1:10">
      <c r="A137" s="58">
        <v>136</v>
      </c>
      <c r="B137" s="57">
        <v>18136</v>
      </c>
      <c r="C137" s="57" t="s">
        <v>463</v>
      </c>
      <c r="D137" s="57" t="s">
        <v>498</v>
      </c>
      <c r="E137" s="57" t="s">
        <v>54</v>
      </c>
      <c r="F137" s="60" t="s">
        <v>294</v>
      </c>
      <c r="G137" s="68">
        <v>45558</v>
      </c>
      <c r="H137" s="57">
        <v>4400</v>
      </c>
      <c r="I137" s="61">
        <v>4400</v>
      </c>
      <c r="J137" s="69" t="s">
        <v>337</v>
      </c>
    </row>
    <row r="138" spans="1:10">
      <c r="A138" s="58">
        <v>137</v>
      </c>
      <c r="B138" s="57">
        <v>18137</v>
      </c>
      <c r="C138" s="57" t="s">
        <v>451</v>
      </c>
      <c r="D138" s="57" t="s">
        <v>491</v>
      </c>
      <c r="E138" s="57" t="s">
        <v>54</v>
      </c>
      <c r="F138" s="60" t="s">
        <v>294</v>
      </c>
      <c r="G138" s="68">
        <v>45560</v>
      </c>
      <c r="H138" s="57">
        <v>4400</v>
      </c>
      <c r="I138" s="61">
        <v>2000</v>
      </c>
      <c r="J138" s="69" t="s">
        <v>300</v>
      </c>
    </row>
    <row r="139" spans="1:10">
      <c r="A139" s="58">
        <v>138</v>
      </c>
      <c r="B139" s="57">
        <v>18138</v>
      </c>
      <c r="C139" s="57" t="s">
        <v>477</v>
      </c>
      <c r="D139" s="57" t="s">
        <v>499</v>
      </c>
      <c r="E139" s="57" t="s">
        <v>32</v>
      </c>
      <c r="F139" s="60" t="s">
        <v>294</v>
      </c>
      <c r="G139" s="68">
        <v>45562</v>
      </c>
      <c r="H139" s="57">
        <v>4400</v>
      </c>
      <c r="I139" s="61">
        <v>4400</v>
      </c>
      <c r="J139" s="69" t="s">
        <v>35</v>
      </c>
    </row>
    <row r="140" spans="1:10">
      <c r="A140" s="58">
        <v>139</v>
      </c>
      <c r="B140" s="57">
        <v>18139</v>
      </c>
      <c r="C140" s="57" t="s">
        <v>462</v>
      </c>
      <c r="D140" s="57" t="s">
        <v>500</v>
      </c>
      <c r="E140" s="57" t="s">
        <v>54</v>
      </c>
      <c r="F140" s="60" t="s">
        <v>294</v>
      </c>
      <c r="G140" s="68">
        <v>45567</v>
      </c>
      <c r="H140" s="57">
        <v>4400</v>
      </c>
      <c r="I140" s="61">
        <v>4400</v>
      </c>
      <c r="J140" s="69" t="s">
        <v>88</v>
      </c>
    </row>
    <row r="141" spans="1:10">
      <c r="A141" s="58">
        <v>140</v>
      </c>
      <c r="B141" s="57">
        <v>18140</v>
      </c>
      <c r="C141" s="57" t="s">
        <v>481</v>
      </c>
      <c r="D141" s="57" t="s">
        <v>501</v>
      </c>
      <c r="E141" s="57" t="s">
        <v>32</v>
      </c>
      <c r="F141" s="60" t="s">
        <v>294</v>
      </c>
      <c r="G141" s="68">
        <v>45568</v>
      </c>
      <c r="H141" s="57">
        <v>4400</v>
      </c>
      <c r="I141" s="61">
        <v>4000</v>
      </c>
      <c r="J141" s="69" t="s">
        <v>306</v>
      </c>
    </row>
    <row r="142" spans="1:10">
      <c r="A142" s="58">
        <v>141</v>
      </c>
      <c r="B142" s="57">
        <v>18141</v>
      </c>
      <c r="C142" s="57" t="s">
        <v>502</v>
      </c>
      <c r="D142" s="57" t="s">
        <v>503</v>
      </c>
      <c r="E142" s="57" t="s">
        <v>54</v>
      </c>
      <c r="F142" s="60" t="s">
        <v>294</v>
      </c>
      <c r="G142" s="68">
        <v>45302</v>
      </c>
      <c r="H142" s="57">
        <v>4400</v>
      </c>
      <c r="I142" s="61">
        <v>3800</v>
      </c>
      <c r="J142" s="69" t="s">
        <v>325</v>
      </c>
    </row>
    <row r="143" spans="1:10">
      <c r="A143" s="58">
        <v>142</v>
      </c>
      <c r="B143" s="57">
        <v>18142</v>
      </c>
      <c r="C143" s="57" t="s">
        <v>504</v>
      </c>
      <c r="D143" s="57" t="s">
        <v>505</v>
      </c>
      <c r="E143" s="57" t="s">
        <v>54</v>
      </c>
      <c r="F143" s="60" t="s">
        <v>294</v>
      </c>
      <c r="G143" s="68">
        <v>45302</v>
      </c>
      <c r="H143" s="57">
        <v>4400</v>
      </c>
      <c r="I143" s="61">
        <v>3800</v>
      </c>
      <c r="J143" s="69" t="s">
        <v>295</v>
      </c>
    </row>
    <row r="144" spans="1:10">
      <c r="A144" s="58">
        <v>143</v>
      </c>
      <c r="B144" s="57">
        <v>18143</v>
      </c>
      <c r="C144" s="57" t="s">
        <v>506</v>
      </c>
      <c r="D144" s="57" t="s">
        <v>507</v>
      </c>
      <c r="E144" s="57" t="s">
        <v>32</v>
      </c>
      <c r="F144" s="60" t="s">
        <v>330</v>
      </c>
      <c r="G144" s="68">
        <v>45376</v>
      </c>
      <c r="H144" s="57">
        <v>3200</v>
      </c>
      <c r="I144" s="61">
        <v>2800</v>
      </c>
      <c r="J144" s="69" t="s">
        <v>297</v>
      </c>
    </row>
    <row r="145" spans="1:10">
      <c r="A145" s="58">
        <v>144</v>
      </c>
      <c r="B145" s="57">
        <v>18144</v>
      </c>
      <c r="C145" s="57" t="s">
        <v>508</v>
      </c>
      <c r="D145" s="57" t="s">
        <v>509</v>
      </c>
      <c r="E145" s="57" t="s">
        <v>32</v>
      </c>
      <c r="F145" s="60" t="s">
        <v>330</v>
      </c>
      <c r="G145" s="68">
        <v>45376</v>
      </c>
      <c r="H145" s="57">
        <v>3200</v>
      </c>
      <c r="I145" s="61">
        <v>2800</v>
      </c>
      <c r="J145" s="69" t="s">
        <v>310</v>
      </c>
    </row>
    <row r="146" spans="1:10">
      <c r="A146" s="58">
        <v>145</v>
      </c>
      <c r="B146" s="57">
        <v>18145</v>
      </c>
      <c r="C146" s="57" t="s">
        <v>510</v>
      </c>
      <c r="D146" s="57" t="s">
        <v>511</v>
      </c>
      <c r="E146" s="57" t="s">
        <v>32</v>
      </c>
      <c r="F146" s="60" t="s">
        <v>330</v>
      </c>
      <c r="G146" s="68">
        <v>45377</v>
      </c>
      <c r="H146" s="57">
        <v>3200</v>
      </c>
      <c r="I146" s="61">
        <v>2600</v>
      </c>
      <c r="J146" s="69" t="s">
        <v>297</v>
      </c>
    </row>
    <row r="147" spans="1:10">
      <c r="A147" s="58">
        <v>146</v>
      </c>
      <c r="B147" s="57">
        <v>18146</v>
      </c>
      <c r="C147" s="57" t="s">
        <v>512</v>
      </c>
      <c r="D147" s="58" t="s">
        <v>513</v>
      </c>
      <c r="E147" s="57" t="s">
        <v>32</v>
      </c>
      <c r="F147" s="60" t="s">
        <v>330</v>
      </c>
      <c r="G147" s="68">
        <v>45377</v>
      </c>
      <c r="H147" s="57">
        <v>3200</v>
      </c>
      <c r="I147" s="61">
        <v>3200</v>
      </c>
      <c r="J147" s="69" t="s">
        <v>310</v>
      </c>
    </row>
    <row r="148" spans="1:10">
      <c r="A148" s="58">
        <v>147</v>
      </c>
      <c r="B148" s="57">
        <v>18147</v>
      </c>
      <c r="C148" s="57" t="s">
        <v>514</v>
      </c>
      <c r="D148" s="57" t="s">
        <v>353</v>
      </c>
      <c r="E148" s="57" t="s">
        <v>32</v>
      </c>
      <c r="F148" s="60" t="s">
        <v>330</v>
      </c>
      <c r="G148" s="68">
        <v>45377</v>
      </c>
      <c r="H148" s="57">
        <v>3200</v>
      </c>
      <c r="I148" s="61">
        <v>2600</v>
      </c>
      <c r="J148" s="69" t="s">
        <v>322</v>
      </c>
    </row>
    <row r="149" spans="1:10">
      <c r="A149" s="58">
        <v>148</v>
      </c>
      <c r="B149" s="57">
        <v>18148</v>
      </c>
      <c r="C149" s="57" t="s">
        <v>515</v>
      </c>
      <c r="D149" s="57" t="s">
        <v>516</v>
      </c>
      <c r="E149" s="57" t="s">
        <v>54</v>
      </c>
      <c r="F149" s="60" t="s">
        <v>330</v>
      </c>
      <c r="G149" s="68">
        <v>45378</v>
      </c>
      <c r="H149" s="57">
        <v>3200</v>
      </c>
      <c r="I149" s="61">
        <v>3200</v>
      </c>
      <c r="J149" s="69" t="s">
        <v>337</v>
      </c>
    </row>
    <row r="150" spans="1:10">
      <c r="A150" s="58">
        <v>149</v>
      </c>
      <c r="B150" s="57">
        <v>18149</v>
      </c>
      <c r="C150" s="57" t="s">
        <v>517</v>
      </c>
      <c r="D150" s="57" t="s">
        <v>443</v>
      </c>
      <c r="E150" s="57" t="s">
        <v>54</v>
      </c>
      <c r="F150" s="60" t="s">
        <v>330</v>
      </c>
      <c r="G150" s="68">
        <v>45378</v>
      </c>
      <c r="H150" s="57">
        <v>3200</v>
      </c>
      <c r="I150" s="61">
        <v>2600</v>
      </c>
      <c r="J150" s="69" t="s">
        <v>300</v>
      </c>
    </row>
    <row r="151" spans="1:10">
      <c r="A151" s="58">
        <v>150</v>
      </c>
      <c r="B151" s="57">
        <v>18150</v>
      </c>
      <c r="C151" s="57" t="s">
        <v>518</v>
      </c>
      <c r="D151" s="58" t="s">
        <v>519</v>
      </c>
      <c r="E151" s="57" t="s">
        <v>54</v>
      </c>
      <c r="F151" s="60" t="s">
        <v>330</v>
      </c>
      <c r="G151" s="68">
        <v>45378</v>
      </c>
      <c r="H151" s="57">
        <v>3200</v>
      </c>
      <c r="I151" s="61">
        <v>3200</v>
      </c>
      <c r="J151" s="69" t="s">
        <v>322</v>
      </c>
    </row>
    <row r="152" spans="1:10">
      <c r="A152" s="58">
        <v>151</v>
      </c>
      <c r="B152" s="57">
        <v>18151</v>
      </c>
      <c r="C152" s="57" t="s">
        <v>520</v>
      </c>
      <c r="D152" s="57" t="s">
        <v>521</v>
      </c>
      <c r="E152" s="57" t="s">
        <v>32</v>
      </c>
      <c r="F152" s="60" t="s">
        <v>330</v>
      </c>
      <c r="G152" s="68">
        <v>45379</v>
      </c>
      <c r="H152" s="57">
        <v>3200</v>
      </c>
      <c r="I152" s="61">
        <v>2600</v>
      </c>
      <c r="J152" s="69" t="s">
        <v>322</v>
      </c>
    </row>
    <row r="153" spans="1:10">
      <c r="A153" s="58">
        <v>152</v>
      </c>
      <c r="B153" s="57">
        <v>18152</v>
      </c>
      <c r="C153" s="57" t="s">
        <v>522</v>
      </c>
      <c r="D153" s="57" t="s">
        <v>523</v>
      </c>
      <c r="E153" s="57" t="s">
        <v>32</v>
      </c>
      <c r="F153" s="60" t="s">
        <v>330</v>
      </c>
      <c r="G153" s="68">
        <v>45379</v>
      </c>
      <c r="H153" s="57">
        <v>3200</v>
      </c>
      <c r="I153" s="61">
        <v>3200</v>
      </c>
      <c r="J153" s="69" t="s">
        <v>297</v>
      </c>
    </row>
    <row r="154" spans="1:10">
      <c r="A154" s="58">
        <v>153</v>
      </c>
      <c r="B154" s="57">
        <v>18153</v>
      </c>
      <c r="C154" s="57" t="s">
        <v>483</v>
      </c>
      <c r="D154" s="57" t="s">
        <v>434</v>
      </c>
      <c r="E154" s="57" t="s">
        <v>32</v>
      </c>
      <c r="F154" s="60" t="s">
        <v>330</v>
      </c>
      <c r="G154" s="68">
        <v>45379</v>
      </c>
      <c r="H154" s="57">
        <v>3200</v>
      </c>
      <c r="I154" s="61">
        <v>3200</v>
      </c>
      <c r="J154" s="69" t="s">
        <v>310</v>
      </c>
    </row>
    <row r="155" spans="1:10">
      <c r="A155" s="58">
        <v>154</v>
      </c>
      <c r="B155" s="57">
        <v>18154</v>
      </c>
      <c r="C155" s="57" t="s">
        <v>524</v>
      </c>
      <c r="D155" s="57" t="s">
        <v>525</v>
      </c>
      <c r="E155" s="57" t="s">
        <v>54</v>
      </c>
      <c r="F155" s="60" t="s">
        <v>390</v>
      </c>
      <c r="G155" s="68">
        <v>45432</v>
      </c>
      <c r="H155" s="57">
        <v>7500</v>
      </c>
      <c r="I155" s="61">
        <v>7500</v>
      </c>
      <c r="J155" s="69" t="s">
        <v>310</v>
      </c>
    </row>
    <row r="156" spans="1:10">
      <c r="A156" s="58">
        <v>155</v>
      </c>
      <c r="B156" s="57">
        <v>18155</v>
      </c>
      <c r="C156" s="57" t="s">
        <v>526</v>
      </c>
      <c r="D156" s="57" t="s">
        <v>429</v>
      </c>
      <c r="E156" s="57" t="s">
        <v>32</v>
      </c>
      <c r="F156" s="60" t="s">
        <v>390</v>
      </c>
      <c r="G156" s="68">
        <v>45432</v>
      </c>
      <c r="H156" s="57">
        <v>7500</v>
      </c>
      <c r="I156" s="61">
        <v>7100</v>
      </c>
      <c r="J156" s="69" t="s">
        <v>325</v>
      </c>
    </row>
    <row r="157" spans="1:10">
      <c r="A157" s="58">
        <v>156</v>
      </c>
      <c r="B157" s="57">
        <v>18156</v>
      </c>
      <c r="C157" s="57" t="s">
        <v>527</v>
      </c>
      <c r="D157" s="57" t="s">
        <v>528</v>
      </c>
      <c r="E157" s="57" t="s">
        <v>54</v>
      </c>
      <c r="F157" s="60" t="s">
        <v>390</v>
      </c>
      <c r="G157" s="68">
        <v>45432</v>
      </c>
      <c r="H157" s="57">
        <v>7500</v>
      </c>
      <c r="I157" s="61">
        <v>7500</v>
      </c>
      <c r="J157" s="69" t="s">
        <v>295</v>
      </c>
    </row>
    <row r="158" spans="1:10">
      <c r="A158" s="58">
        <v>157</v>
      </c>
      <c r="B158" s="57">
        <v>18157</v>
      </c>
      <c r="C158" s="57" t="s">
        <v>529</v>
      </c>
      <c r="D158" s="57" t="s">
        <v>530</v>
      </c>
      <c r="E158" s="57" t="s">
        <v>32</v>
      </c>
      <c r="F158" s="60" t="s">
        <v>390</v>
      </c>
      <c r="G158" s="68">
        <v>45433</v>
      </c>
      <c r="H158" s="57">
        <v>7500</v>
      </c>
      <c r="I158" s="61">
        <v>6900</v>
      </c>
      <c r="J158" s="69" t="s">
        <v>297</v>
      </c>
    </row>
    <row r="159" spans="1:10">
      <c r="A159" s="58">
        <v>158</v>
      </c>
      <c r="B159" s="57">
        <v>18158</v>
      </c>
      <c r="C159" s="57" t="s">
        <v>531</v>
      </c>
      <c r="D159" s="57" t="s">
        <v>532</v>
      </c>
      <c r="E159" s="57" t="s">
        <v>32</v>
      </c>
      <c r="F159" s="60" t="s">
        <v>390</v>
      </c>
      <c r="G159" s="68">
        <v>45433</v>
      </c>
      <c r="H159" s="57">
        <v>7500</v>
      </c>
      <c r="I159" s="61">
        <v>7100</v>
      </c>
      <c r="J159" s="69" t="s">
        <v>310</v>
      </c>
    </row>
    <row r="160" spans="1:10">
      <c r="A160" s="58">
        <v>159</v>
      </c>
      <c r="B160" s="57">
        <v>18159</v>
      </c>
      <c r="C160" s="57" t="s">
        <v>533</v>
      </c>
      <c r="D160" s="57" t="s">
        <v>363</v>
      </c>
      <c r="E160" s="57" t="s">
        <v>32</v>
      </c>
      <c r="F160" s="60" t="s">
        <v>390</v>
      </c>
      <c r="G160" s="68">
        <v>45433</v>
      </c>
      <c r="H160" s="57">
        <v>7500</v>
      </c>
      <c r="I160" s="61">
        <v>6900</v>
      </c>
      <c r="J160" s="69" t="s">
        <v>322</v>
      </c>
    </row>
    <row r="161" spans="1:10">
      <c r="A161" s="58">
        <v>160</v>
      </c>
      <c r="B161" s="57">
        <v>18160</v>
      </c>
      <c r="C161" s="57" t="s">
        <v>534</v>
      </c>
      <c r="D161" s="57" t="s">
        <v>535</v>
      </c>
      <c r="E161" s="57" t="s">
        <v>54</v>
      </c>
      <c r="F161" s="60" t="s">
        <v>390</v>
      </c>
      <c r="G161" s="68">
        <v>45434</v>
      </c>
      <c r="H161" s="57">
        <v>7500</v>
      </c>
      <c r="I161" s="61">
        <v>7500</v>
      </c>
      <c r="J161" s="69" t="s">
        <v>337</v>
      </c>
    </row>
    <row r="162" spans="1:10">
      <c r="A162" s="58">
        <v>161</v>
      </c>
      <c r="B162" s="57">
        <v>18161</v>
      </c>
      <c r="C162" s="57" t="s">
        <v>536</v>
      </c>
      <c r="D162" s="57" t="s">
        <v>474</v>
      </c>
      <c r="E162" s="57" t="s">
        <v>32</v>
      </c>
      <c r="F162" s="60" t="s">
        <v>390</v>
      </c>
      <c r="G162" s="68">
        <v>45434</v>
      </c>
      <c r="H162" s="57">
        <v>7500</v>
      </c>
      <c r="I162" s="61">
        <v>7500</v>
      </c>
      <c r="J162" s="69" t="s">
        <v>297</v>
      </c>
    </row>
    <row r="163" spans="1:10">
      <c r="A163" s="58">
        <v>162</v>
      </c>
      <c r="B163" s="57">
        <v>18162</v>
      </c>
      <c r="C163" s="57" t="s">
        <v>527</v>
      </c>
      <c r="D163" s="57" t="s">
        <v>537</v>
      </c>
      <c r="E163" s="57" t="s">
        <v>54</v>
      </c>
      <c r="F163" s="60" t="s">
        <v>390</v>
      </c>
      <c r="G163" s="68">
        <v>45434</v>
      </c>
      <c r="H163" s="57">
        <v>7500</v>
      </c>
      <c r="I163" s="61">
        <v>7500</v>
      </c>
      <c r="J163" s="69" t="s">
        <v>310</v>
      </c>
    </row>
    <row r="164" spans="1:10">
      <c r="A164" s="58">
        <v>163</v>
      </c>
      <c r="B164" s="57">
        <v>18163</v>
      </c>
      <c r="C164" s="57" t="s">
        <v>538</v>
      </c>
      <c r="D164" s="57" t="s">
        <v>539</v>
      </c>
      <c r="E164" s="57" t="s">
        <v>32</v>
      </c>
      <c r="F164" s="60" t="s">
        <v>390</v>
      </c>
      <c r="G164" s="68">
        <v>45435</v>
      </c>
      <c r="H164" s="57">
        <v>7500</v>
      </c>
      <c r="I164" s="61">
        <v>6900</v>
      </c>
      <c r="J164" s="69" t="s">
        <v>322</v>
      </c>
    </row>
    <row r="165" spans="1:10">
      <c r="A165" s="58">
        <v>164</v>
      </c>
      <c r="B165" s="57">
        <v>18164</v>
      </c>
      <c r="C165" s="57" t="s">
        <v>540</v>
      </c>
      <c r="D165" s="57" t="s">
        <v>541</v>
      </c>
      <c r="E165" s="57" t="s">
        <v>32</v>
      </c>
      <c r="F165" s="60" t="s">
        <v>390</v>
      </c>
      <c r="G165" s="68">
        <v>45435</v>
      </c>
      <c r="H165" s="57">
        <v>7500</v>
      </c>
      <c r="I165" s="61">
        <v>7500</v>
      </c>
      <c r="J165" s="69" t="s">
        <v>337</v>
      </c>
    </row>
    <row r="166" spans="1:10">
      <c r="A166" s="58">
        <v>165</v>
      </c>
      <c r="B166" s="57">
        <v>18165</v>
      </c>
      <c r="C166" s="57" t="s">
        <v>542</v>
      </c>
      <c r="D166" s="57" t="s">
        <v>543</v>
      </c>
      <c r="E166" s="57" t="s">
        <v>54</v>
      </c>
      <c r="F166" s="60" t="s">
        <v>390</v>
      </c>
      <c r="G166" s="68">
        <v>45435</v>
      </c>
      <c r="H166" s="57">
        <v>7500</v>
      </c>
      <c r="I166" s="61">
        <v>6900</v>
      </c>
      <c r="J166" s="69" t="s">
        <v>300</v>
      </c>
    </row>
    <row r="167" spans="1:10">
      <c r="A167" s="58">
        <v>166</v>
      </c>
      <c r="B167" s="57">
        <v>18166</v>
      </c>
      <c r="C167" s="57" t="s">
        <v>544</v>
      </c>
      <c r="D167" s="57" t="s">
        <v>545</v>
      </c>
      <c r="E167" s="57" t="s">
        <v>32</v>
      </c>
      <c r="F167" s="60" t="s">
        <v>390</v>
      </c>
      <c r="G167" s="68">
        <v>45436</v>
      </c>
      <c r="H167" s="57">
        <v>7500</v>
      </c>
      <c r="I167" s="61">
        <v>7500</v>
      </c>
      <c r="J167" s="69" t="s">
        <v>322</v>
      </c>
    </row>
    <row r="168" spans="1:10">
      <c r="A168" s="58">
        <v>167</v>
      </c>
      <c r="B168" s="57">
        <v>18167</v>
      </c>
      <c r="C168" s="57" t="s">
        <v>546</v>
      </c>
      <c r="D168" s="57" t="s">
        <v>547</v>
      </c>
      <c r="E168" s="57" t="s">
        <v>32</v>
      </c>
      <c r="F168" s="60" t="s">
        <v>390</v>
      </c>
      <c r="G168" s="68">
        <v>45436</v>
      </c>
      <c r="H168" s="57">
        <v>7500</v>
      </c>
      <c r="I168" s="61">
        <v>7500</v>
      </c>
      <c r="J168" s="69" t="s">
        <v>322</v>
      </c>
    </row>
    <row r="169" spans="1:10">
      <c r="A169" s="58">
        <v>168</v>
      </c>
      <c r="B169" s="57">
        <v>18168</v>
      </c>
      <c r="C169" s="57" t="s">
        <v>548</v>
      </c>
      <c r="D169" s="57" t="s">
        <v>549</v>
      </c>
      <c r="E169" s="57" t="s">
        <v>32</v>
      </c>
      <c r="F169" s="60" t="s">
        <v>390</v>
      </c>
      <c r="G169" s="68">
        <v>45436</v>
      </c>
      <c r="H169" s="57">
        <v>7500</v>
      </c>
      <c r="I169" s="61">
        <v>7100</v>
      </c>
      <c r="J169" s="69" t="s">
        <v>297</v>
      </c>
    </row>
    <row r="170" spans="1:10">
      <c r="A170" s="58">
        <v>169</v>
      </c>
      <c r="B170" s="57">
        <v>18169</v>
      </c>
      <c r="C170" s="57" t="s">
        <v>550</v>
      </c>
      <c r="D170" s="57" t="s">
        <v>528</v>
      </c>
      <c r="E170" s="57" t="s">
        <v>54</v>
      </c>
      <c r="F170" s="60" t="s">
        <v>390</v>
      </c>
      <c r="G170" s="68">
        <v>45437</v>
      </c>
      <c r="H170" s="57">
        <v>7500</v>
      </c>
      <c r="I170" s="61">
        <v>7100</v>
      </c>
      <c r="J170" s="69" t="s">
        <v>310</v>
      </c>
    </row>
    <row r="171" spans="1:10">
      <c r="A171" s="58">
        <v>170</v>
      </c>
      <c r="B171" s="57">
        <v>18170</v>
      </c>
      <c r="C171" s="57" t="s">
        <v>551</v>
      </c>
      <c r="D171" s="57" t="s">
        <v>552</v>
      </c>
      <c r="E171" s="57" t="s">
        <v>54</v>
      </c>
      <c r="F171" s="60" t="s">
        <v>390</v>
      </c>
      <c r="G171" s="68">
        <v>45437</v>
      </c>
      <c r="H171" s="57">
        <v>7500</v>
      </c>
      <c r="I171" s="61">
        <v>6900</v>
      </c>
      <c r="J171" s="69" t="s">
        <v>310</v>
      </c>
    </row>
    <row r="172" spans="1:10">
      <c r="A172" s="58">
        <v>171</v>
      </c>
      <c r="B172" s="57">
        <v>18171</v>
      </c>
      <c r="C172" s="57" t="s">
        <v>553</v>
      </c>
      <c r="D172" s="57" t="s">
        <v>554</v>
      </c>
      <c r="E172" s="57" t="s">
        <v>54</v>
      </c>
      <c r="F172" s="60" t="s">
        <v>330</v>
      </c>
      <c r="G172" s="68">
        <v>45576</v>
      </c>
      <c r="H172" s="57">
        <v>3200</v>
      </c>
      <c r="I172" s="61">
        <v>3200</v>
      </c>
      <c r="J172" s="69" t="s">
        <v>325</v>
      </c>
    </row>
    <row r="173" spans="1:10">
      <c r="A173" s="58">
        <v>172</v>
      </c>
      <c r="B173" s="57">
        <v>18172</v>
      </c>
      <c r="C173" s="57" t="s">
        <v>555</v>
      </c>
      <c r="D173" s="57" t="s">
        <v>556</v>
      </c>
      <c r="E173" s="57" t="s">
        <v>32</v>
      </c>
      <c r="F173" s="60" t="s">
        <v>294</v>
      </c>
      <c r="G173" s="68">
        <v>45306</v>
      </c>
      <c r="H173" s="57">
        <v>4400</v>
      </c>
      <c r="I173" s="61">
        <v>3800</v>
      </c>
      <c r="J173" s="69" t="s">
        <v>295</v>
      </c>
    </row>
    <row r="174" spans="1:10">
      <c r="A174" s="58">
        <v>173</v>
      </c>
      <c r="B174" s="57">
        <v>18173</v>
      </c>
      <c r="C174" s="57" t="s">
        <v>557</v>
      </c>
      <c r="D174" s="57" t="s">
        <v>423</v>
      </c>
      <c r="E174" s="57" t="s">
        <v>32</v>
      </c>
      <c r="F174" s="60" t="s">
        <v>330</v>
      </c>
      <c r="G174" s="68">
        <v>45332</v>
      </c>
      <c r="H174" s="57">
        <v>3200</v>
      </c>
      <c r="I174" s="61">
        <v>2600</v>
      </c>
      <c r="J174" s="69" t="s">
        <v>297</v>
      </c>
    </row>
    <row r="175" spans="1:10">
      <c r="A175" s="58">
        <v>174</v>
      </c>
      <c r="B175" s="57">
        <v>18174</v>
      </c>
      <c r="C175" s="57" t="s">
        <v>558</v>
      </c>
      <c r="D175" s="57" t="s">
        <v>559</v>
      </c>
      <c r="E175" s="57" t="s">
        <v>32</v>
      </c>
      <c r="F175" s="60" t="s">
        <v>330</v>
      </c>
      <c r="G175" s="68">
        <v>45332</v>
      </c>
      <c r="H175" s="57">
        <v>3200</v>
      </c>
      <c r="I175" s="61">
        <v>2600</v>
      </c>
      <c r="J175" s="69" t="s">
        <v>310</v>
      </c>
    </row>
    <row r="176" spans="1:10">
      <c r="A176" s="58">
        <v>175</v>
      </c>
      <c r="B176" s="57">
        <v>18175</v>
      </c>
      <c r="C176" s="57" t="s">
        <v>560</v>
      </c>
      <c r="D176" s="57" t="s">
        <v>561</v>
      </c>
      <c r="E176" s="57" t="s">
        <v>32</v>
      </c>
      <c r="F176" s="60" t="s">
        <v>330</v>
      </c>
      <c r="G176" s="68">
        <v>45332</v>
      </c>
      <c r="H176" s="57">
        <v>3200</v>
      </c>
      <c r="I176" s="61">
        <v>3200</v>
      </c>
      <c r="J176" s="69" t="s">
        <v>322</v>
      </c>
    </row>
    <row r="177" spans="1:10">
      <c r="A177" s="58">
        <v>176</v>
      </c>
      <c r="B177" s="57">
        <v>18176</v>
      </c>
      <c r="C177" s="57" t="s">
        <v>562</v>
      </c>
      <c r="D177" s="57" t="s">
        <v>563</v>
      </c>
      <c r="E177" s="57" t="s">
        <v>32</v>
      </c>
      <c r="F177" s="60" t="s">
        <v>330</v>
      </c>
      <c r="G177" s="68">
        <v>45334</v>
      </c>
      <c r="H177" s="57">
        <v>3200</v>
      </c>
      <c r="I177" s="61">
        <v>3200</v>
      </c>
      <c r="J177" s="69" t="s">
        <v>337</v>
      </c>
    </row>
    <row r="178" spans="1:10">
      <c r="A178" s="58">
        <v>177</v>
      </c>
      <c r="B178" s="57">
        <v>18177</v>
      </c>
      <c r="C178" s="57" t="s">
        <v>564</v>
      </c>
      <c r="D178" s="57" t="s">
        <v>565</v>
      </c>
      <c r="E178" s="57" t="s">
        <v>54</v>
      </c>
      <c r="F178" s="60" t="s">
        <v>390</v>
      </c>
      <c r="G178" s="68">
        <v>45334</v>
      </c>
      <c r="H178" s="57">
        <v>7500</v>
      </c>
      <c r="I178" s="61">
        <v>7500</v>
      </c>
      <c r="J178" s="69" t="s">
        <v>35</v>
      </c>
    </row>
    <row r="179" spans="1:10">
      <c r="A179" s="58">
        <v>178</v>
      </c>
      <c r="B179" s="57">
        <v>18178</v>
      </c>
      <c r="C179" s="57" t="s">
        <v>566</v>
      </c>
      <c r="D179" s="57" t="s">
        <v>567</v>
      </c>
      <c r="E179" s="57" t="s">
        <v>54</v>
      </c>
      <c r="F179" s="60" t="s">
        <v>390</v>
      </c>
      <c r="G179" s="68">
        <v>45441</v>
      </c>
      <c r="H179" s="57">
        <v>7500</v>
      </c>
      <c r="I179" s="61">
        <v>7500</v>
      </c>
      <c r="J179" s="69" t="s">
        <v>88</v>
      </c>
    </row>
    <row r="180" spans="1:10">
      <c r="A180" s="58">
        <v>179</v>
      </c>
      <c r="B180" s="57">
        <v>18179</v>
      </c>
      <c r="C180" s="57" t="s">
        <v>568</v>
      </c>
      <c r="D180" s="57" t="s">
        <v>569</v>
      </c>
      <c r="E180" s="57" t="s">
        <v>32</v>
      </c>
      <c r="F180" s="60" t="s">
        <v>390</v>
      </c>
      <c r="G180" s="68">
        <v>45441</v>
      </c>
      <c r="H180" s="57">
        <v>7500</v>
      </c>
      <c r="I180" s="61">
        <v>7500</v>
      </c>
      <c r="J180" s="69" t="s">
        <v>295</v>
      </c>
    </row>
    <row r="181" spans="1:10">
      <c r="A181" s="58">
        <v>180</v>
      </c>
      <c r="B181" s="57">
        <v>18180</v>
      </c>
      <c r="C181" s="57" t="s">
        <v>570</v>
      </c>
      <c r="D181" s="57" t="s">
        <v>571</v>
      </c>
      <c r="E181" s="57" t="s">
        <v>32</v>
      </c>
      <c r="F181" s="60" t="s">
        <v>390</v>
      </c>
      <c r="G181" s="68">
        <v>45442</v>
      </c>
      <c r="H181" s="57">
        <v>7500</v>
      </c>
      <c r="I181" s="61">
        <v>7100</v>
      </c>
      <c r="J181" s="69" t="s">
        <v>297</v>
      </c>
    </row>
    <row r="182" spans="1:10">
      <c r="A182" s="58">
        <v>181</v>
      </c>
      <c r="B182" s="57">
        <v>18181</v>
      </c>
      <c r="C182" s="57" t="s">
        <v>572</v>
      </c>
      <c r="D182" s="58" t="s">
        <v>573</v>
      </c>
      <c r="E182" s="57" t="s">
        <v>32</v>
      </c>
      <c r="F182" s="60" t="s">
        <v>390</v>
      </c>
      <c r="G182" s="68">
        <v>45442</v>
      </c>
      <c r="H182" s="57">
        <v>7500</v>
      </c>
      <c r="I182" s="61">
        <v>7100</v>
      </c>
      <c r="J182" s="69" t="s">
        <v>39</v>
      </c>
    </row>
    <row r="183" spans="1:10">
      <c r="A183" s="58">
        <v>182</v>
      </c>
      <c r="B183" s="57">
        <v>18182</v>
      </c>
      <c r="C183" s="57" t="s">
        <v>416</v>
      </c>
      <c r="D183" s="57" t="s">
        <v>574</v>
      </c>
      <c r="E183" s="57" t="s">
        <v>32</v>
      </c>
      <c r="F183" s="60" t="s">
        <v>330</v>
      </c>
      <c r="G183" s="68">
        <v>45442</v>
      </c>
      <c r="H183" s="57">
        <v>3200</v>
      </c>
      <c r="I183" s="61">
        <v>3200</v>
      </c>
      <c r="J183" s="69" t="s">
        <v>299</v>
      </c>
    </row>
    <row r="184" spans="1:10">
      <c r="A184" s="58">
        <v>183</v>
      </c>
      <c r="B184" s="57">
        <v>18183</v>
      </c>
      <c r="C184" s="57" t="s">
        <v>575</v>
      </c>
      <c r="D184" s="57" t="s">
        <v>576</v>
      </c>
      <c r="E184" s="57" t="s">
        <v>32</v>
      </c>
      <c r="F184" s="60" t="s">
        <v>390</v>
      </c>
      <c r="G184" s="68">
        <v>45443</v>
      </c>
      <c r="H184" s="57">
        <v>7500</v>
      </c>
      <c r="I184" s="61">
        <v>6900</v>
      </c>
      <c r="J184" s="69" t="s">
        <v>300</v>
      </c>
    </row>
    <row r="185" spans="1:10">
      <c r="A185" s="58">
        <v>184</v>
      </c>
      <c r="B185" s="57">
        <v>18184</v>
      </c>
      <c r="C185" s="57" t="s">
        <v>577</v>
      </c>
      <c r="D185" s="57" t="s">
        <v>578</v>
      </c>
      <c r="E185" s="57" t="s">
        <v>54</v>
      </c>
      <c r="F185" s="60" t="s">
        <v>390</v>
      </c>
      <c r="G185" s="68">
        <v>45443</v>
      </c>
      <c r="H185" s="57">
        <v>7500</v>
      </c>
      <c r="I185" s="61">
        <v>6900</v>
      </c>
      <c r="J185" s="69" t="s">
        <v>302</v>
      </c>
    </row>
    <row r="186" spans="1:10">
      <c r="A186" s="58">
        <v>185</v>
      </c>
      <c r="B186" s="57">
        <v>18185</v>
      </c>
      <c r="C186" s="57" t="s">
        <v>579</v>
      </c>
      <c r="D186" s="58" t="s">
        <v>580</v>
      </c>
      <c r="E186" s="57" t="s">
        <v>54</v>
      </c>
      <c r="F186" s="60" t="s">
        <v>390</v>
      </c>
      <c r="G186" s="68">
        <v>45443</v>
      </c>
      <c r="H186" s="57">
        <v>7500</v>
      </c>
      <c r="I186" s="61">
        <v>7500</v>
      </c>
      <c r="J186" s="69" t="s">
        <v>304</v>
      </c>
    </row>
    <row r="187" spans="1:10">
      <c r="A187" s="58">
        <v>186</v>
      </c>
      <c r="B187" s="57">
        <v>18186</v>
      </c>
      <c r="C187" s="57" t="s">
        <v>581</v>
      </c>
      <c r="D187" s="57" t="s">
        <v>71</v>
      </c>
      <c r="E187" s="57" t="s">
        <v>32</v>
      </c>
      <c r="F187" s="60" t="s">
        <v>390</v>
      </c>
      <c r="G187" s="68">
        <v>45444</v>
      </c>
      <c r="H187" s="57">
        <v>7500</v>
      </c>
      <c r="I187" s="61">
        <v>7500</v>
      </c>
      <c r="J187" s="69" t="s">
        <v>306</v>
      </c>
    </row>
    <row r="188" spans="1:10">
      <c r="A188" s="58">
        <v>187</v>
      </c>
      <c r="B188" s="57">
        <v>18187</v>
      </c>
      <c r="C188" s="57" t="s">
        <v>582</v>
      </c>
      <c r="D188" s="57" t="s">
        <v>583</v>
      </c>
      <c r="E188" s="57" t="s">
        <v>32</v>
      </c>
      <c r="F188" s="60" t="s">
        <v>390</v>
      </c>
      <c r="G188" s="68">
        <v>45444</v>
      </c>
      <c r="H188" s="57">
        <v>7500</v>
      </c>
      <c r="I188" s="61">
        <v>6900</v>
      </c>
      <c r="J188" s="69" t="s">
        <v>39</v>
      </c>
    </row>
    <row r="189" spans="1:10">
      <c r="A189" s="58">
        <v>188</v>
      </c>
      <c r="B189" s="57">
        <v>18188</v>
      </c>
      <c r="C189" s="57" t="s">
        <v>584</v>
      </c>
      <c r="D189" s="57" t="s">
        <v>585</v>
      </c>
      <c r="E189" s="57" t="s">
        <v>54</v>
      </c>
      <c r="F189" s="60" t="s">
        <v>390</v>
      </c>
      <c r="G189" s="68">
        <v>45444</v>
      </c>
      <c r="H189" s="57">
        <v>7500</v>
      </c>
      <c r="I189" s="61">
        <v>7500</v>
      </c>
      <c r="J189" s="69" t="s">
        <v>299</v>
      </c>
    </row>
    <row r="190" spans="1:10">
      <c r="A190" s="58">
        <v>189</v>
      </c>
      <c r="B190" s="57">
        <v>18189</v>
      </c>
      <c r="C190" s="57" t="s">
        <v>586</v>
      </c>
      <c r="D190" s="57" t="s">
        <v>587</v>
      </c>
      <c r="E190" s="57" t="s">
        <v>32</v>
      </c>
      <c r="F190" s="60" t="s">
        <v>390</v>
      </c>
      <c r="G190" s="68">
        <v>45446</v>
      </c>
      <c r="H190" s="57">
        <v>7500</v>
      </c>
      <c r="I190" s="61">
        <v>7500</v>
      </c>
      <c r="J190" s="69" t="s">
        <v>35</v>
      </c>
    </row>
    <row r="191" spans="1:10">
      <c r="A191" s="58">
        <v>190</v>
      </c>
      <c r="B191" s="57">
        <v>18190</v>
      </c>
      <c r="C191" s="57" t="s">
        <v>588</v>
      </c>
      <c r="D191" s="57" t="s">
        <v>589</v>
      </c>
      <c r="E191" s="57" t="s">
        <v>32</v>
      </c>
      <c r="F191" s="60" t="s">
        <v>390</v>
      </c>
      <c r="G191" s="68">
        <v>45446</v>
      </c>
      <c r="H191" s="57">
        <v>7500</v>
      </c>
      <c r="I191" s="61">
        <v>6900</v>
      </c>
      <c r="J191" s="69" t="s">
        <v>310</v>
      </c>
    </row>
    <row r="192" spans="1:10">
      <c r="A192" s="58">
        <v>191</v>
      </c>
      <c r="B192" s="57">
        <v>18191</v>
      </c>
      <c r="C192" s="57" t="s">
        <v>590</v>
      </c>
      <c r="D192" s="57" t="s">
        <v>591</v>
      </c>
      <c r="E192" s="57" t="s">
        <v>32</v>
      </c>
      <c r="F192" s="60" t="s">
        <v>390</v>
      </c>
      <c r="G192" s="68">
        <v>45446</v>
      </c>
      <c r="H192" s="57">
        <v>7500</v>
      </c>
      <c r="I192" s="61">
        <v>7500</v>
      </c>
      <c r="J192" s="69" t="s">
        <v>70</v>
      </c>
    </row>
    <row r="193" spans="1:10">
      <c r="A193" s="58">
        <v>192</v>
      </c>
      <c r="B193" s="57">
        <v>18192</v>
      </c>
      <c r="C193" s="57" t="s">
        <v>592</v>
      </c>
      <c r="D193" s="57" t="s">
        <v>593</v>
      </c>
      <c r="E193" s="57" t="s">
        <v>54</v>
      </c>
      <c r="F193" s="60" t="s">
        <v>390</v>
      </c>
      <c r="G193" s="68">
        <v>45447</v>
      </c>
      <c r="H193" s="57">
        <v>7500</v>
      </c>
      <c r="I193" s="61">
        <v>7500</v>
      </c>
      <c r="J193" s="69" t="s">
        <v>75</v>
      </c>
    </row>
    <row r="194" spans="1:10">
      <c r="A194" s="58">
        <v>193</v>
      </c>
      <c r="B194" s="57">
        <v>18193</v>
      </c>
      <c r="C194" s="57" t="s">
        <v>594</v>
      </c>
      <c r="D194" s="57" t="s">
        <v>595</v>
      </c>
      <c r="E194" s="57" t="s">
        <v>54</v>
      </c>
      <c r="F194" s="60" t="s">
        <v>390</v>
      </c>
      <c r="G194" s="68">
        <v>45447</v>
      </c>
      <c r="H194" s="57">
        <v>7500</v>
      </c>
      <c r="I194" s="61">
        <v>7100</v>
      </c>
      <c r="J194" s="69" t="s">
        <v>70</v>
      </c>
    </row>
    <row r="195" spans="1:10">
      <c r="A195" s="58">
        <v>194</v>
      </c>
      <c r="B195" s="57">
        <v>18194</v>
      </c>
      <c r="C195" s="57" t="s">
        <v>596</v>
      </c>
      <c r="D195" s="57" t="s">
        <v>46</v>
      </c>
      <c r="E195" s="57" t="s">
        <v>54</v>
      </c>
      <c r="F195" s="60" t="s">
        <v>390</v>
      </c>
      <c r="G195" s="68">
        <v>45447</v>
      </c>
      <c r="H195" s="57">
        <v>7500</v>
      </c>
      <c r="I195" s="61">
        <v>7100</v>
      </c>
      <c r="J195" s="69" t="s">
        <v>75</v>
      </c>
    </row>
    <row r="196" spans="1:10">
      <c r="A196" s="58">
        <v>195</v>
      </c>
      <c r="B196" s="57">
        <v>18195</v>
      </c>
      <c r="C196" s="57" t="s">
        <v>597</v>
      </c>
      <c r="D196" s="57" t="s">
        <v>598</v>
      </c>
      <c r="E196" s="57" t="s">
        <v>32</v>
      </c>
      <c r="F196" s="60" t="s">
        <v>390</v>
      </c>
      <c r="G196" s="68">
        <v>45448</v>
      </c>
      <c r="H196" s="57">
        <v>7500</v>
      </c>
      <c r="I196" s="61">
        <v>6900</v>
      </c>
      <c r="J196" s="69" t="s">
        <v>75</v>
      </c>
    </row>
    <row r="197" spans="1:10">
      <c r="A197" s="58">
        <v>196</v>
      </c>
      <c r="B197" s="57">
        <v>18196</v>
      </c>
      <c r="C197" s="57" t="s">
        <v>599</v>
      </c>
      <c r="D197" s="57" t="s">
        <v>600</v>
      </c>
      <c r="E197" s="57" t="s">
        <v>32</v>
      </c>
      <c r="F197" s="60" t="s">
        <v>390</v>
      </c>
      <c r="G197" s="68">
        <v>45448</v>
      </c>
      <c r="H197" s="57">
        <v>7500</v>
      </c>
      <c r="I197" s="61">
        <v>7500</v>
      </c>
      <c r="J197" s="69" t="s">
        <v>70</v>
      </c>
    </row>
    <row r="198" spans="1:10">
      <c r="A198" s="58">
        <v>197</v>
      </c>
      <c r="B198" s="57">
        <v>18197</v>
      </c>
      <c r="C198" s="57" t="s">
        <v>601</v>
      </c>
      <c r="D198" s="57" t="s">
        <v>535</v>
      </c>
      <c r="E198" s="57" t="s">
        <v>32</v>
      </c>
      <c r="F198" s="60" t="s">
        <v>390</v>
      </c>
      <c r="G198" s="68">
        <v>45448</v>
      </c>
      <c r="H198" s="57">
        <v>7500</v>
      </c>
      <c r="I198" s="61">
        <v>6900</v>
      </c>
      <c r="J198" s="69" t="s">
        <v>88</v>
      </c>
    </row>
    <row r="199" spans="1:10">
      <c r="A199" s="58">
        <v>198</v>
      </c>
      <c r="B199" s="57">
        <v>18198</v>
      </c>
      <c r="C199" s="57" t="s">
        <v>602</v>
      </c>
      <c r="D199" s="57" t="s">
        <v>375</v>
      </c>
      <c r="E199" s="57" t="s">
        <v>54</v>
      </c>
      <c r="F199" s="60" t="s">
        <v>390</v>
      </c>
      <c r="G199" s="68">
        <v>45449</v>
      </c>
      <c r="H199" s="57">
        <v>7500</v>
      </c>
      <c r="I199" s="61">
        <v>6900</v>
      </c>
      <c r="J199" s="69" t="s">
        <v>314</v>
      </c>
    </row>
    <row r="200" spans="1:10">
      <c r="A200" s="58">
        <v>199</v>
      </c>
      <c r="B200" s="57">
        <v>18199</v>
      </c>
      <c r="C200" s="57" t="s">
        <v>603</v>
      </c>
      <c r="D200" s="57" t="s">
        <v>604</v>
      </c>
      <c r="E200" s="57" t="s">
        <v>32</v>
      </c>
      <c r="F200" s="60" t="s">
        <v>390</v>
      </c>
      <c r="G200" s="68">
        <v>45449</v>
      </c>
      <c r="H200" s="57">
        <v>7500</v>
      </c>
      <c r="I200" s="61">
        <v>7500</v>
      </c>
      <c r="J200" s="69" t="s">
        <v>39</v>
      </c>
    </row>
    <row r="201" spans="1:10">
      <c r="A201" s="58">
        <v>200</v>
      </c>
      <c r="B201" s="57">
        <v>18200</v>
      </c>
      <c r="C201" s="57" t="s">
        <v>421</v>
      </c>
      <c r="D201" s="57" t="s">
        <v>605</v>
      </c>
      <c r="E201" s="57" t="s">
        <v>32</v>
      </c>
      <c r="F201" s="60" t="s">
        <v>390</v>
      </c>
      <c r="G201" s="68">
        <v>45449</v>
      </c>
      <c r="H201" s="57">
        <v>7500</v>
      </c>
      <c r="I201" s="61">
        <v>7500</v>
      </c>
      <c r="J201" s="69" t="s">
        <v>299</v>
      </c>
    </row>
    <row r="202" spans="1:10">
      <c r="A202" s="58">
        <v>201</v>
      </c>
      <c r="B202" s="57">
        <v>18201</v>
      </c>
      <c r="C202" s="57" t="s">
        <v>606</v>
      </c>
      <c r="D202" s="57" t="s">
        <v>607</v>
      </c>
      <c r="E202" s="57" t="s">
        <v>54</v>
      </c>
      <c r="F202" s="60" t="s">
        <v>390</v>
      </c>
      <c r="G202" s="68">
        <v>45450</v>
      </c>
      <c r="H202" s="57">
        <v>7500</v>
      </c>
      <c r="I202" s="61">
        <v>7500</v>
      </c>
      <c r="J202" s="69" t="s">
        <v>299</v>
      </c>
    </row>
    <row r="203" spans="1:10">
      <c r="A203" s="58">
        <v>202</v>
      </c>
      <c r="B203" s="57">
        <v>18202</v>
      </c>
      <c r="C203" s="57" t="s">
        <v>608</v>
      </c>
      <c r="D203" s="57" t="s">
        <v>609</v>
      </c>
      <c r="E203" s="57" t="s">
        <v>32</v>
      </c>
      <c r="F203" s="60" t="s">
        <v>390</v>
      </c>
      <c r="G203" s="68">
        <v>45450</v>
      </c>
      <c r="H203" s="57">
        <v>7500</v>
      </c>
      <c r="I203" s="61">
        <v>7500</v>
      </c>
      <c r="J203" s="69" t="s">
        <v>322</v>
      </c>
    </row>
    <row r="204" spans="1:10">
      <c r="A204" s="58">
        <v>203</v>
      </c>
      <c r="B204" s="57">
        <v>18203</v>
      </c>
      <c r="C204" s="57" t="s">
        <v>610</v>
      </c>
      <c r="D204" s="57" t="s">
        <v>611</v>
      </c>
      <c r="E204" s="57" t="s">
        <v>54</v>
      </c>
      <c r="F204" s="60" t="s">
        <v>390</v>
      </c>
      <c r="G204" s="68">
        <v>45450</v>
      </c>
      <c r="H204" s="57">
        <v>7500</v>
      </c>
      <c r="I204" s="61">
        <v>6900</v>
      </c>
      <c r="J204" s="69" t="s">
        <v>325</v>
      </c>
    </row>
    <row r="205" spans="1:10">
      <c r="A205" s="58">
        <v>204</v>
      </c>
      <c r="B205" s="57">
        <v>18204</v>
      </c>
      <c r="C205" s="57" t="s">
        <v>612</v>
      </c>
      <c r="D205" s="57" t="s">
        <v>613</v>
      </c>
      <c r="E205" s="57" t="s">
        <v>32</v>
      </c>
      <c r="F205" s="60" t="s">
        <v>390</v>
      </c>
      <c r="G205" s="68">
        <v>45451</v>
      </c>
      <c r="H205" s="57">
        <v>7500</v>
      </c>
      <c r="I205" s="61">
        <v>7500</v>
      </c>
      <c r="J205" s="69" t="s">
        <v>295</v>
      </c>
    </row>
    <row r="206" spans="1:10">
      <c r="A206" s="58">
        <v>205</v>
      </c>
      <c r="B206" s="57">
        <v>18205</v>
      </c>
      <c r="C206" s="57" t="s">
        <v>614</v>
      </c>
      <c r="D206" s="58" t="s">
        <v>615</v>
      </c>
      <c r="E206" s="57" t="s">
        <v>32</v>
      </c>
      <c r="F206" s="60" t="s">
        <v>390</v>
      </c>
      <c r="G206" s="68">
        <v>45451</v>
      </c>
      <c r="H206" s="57">
        <v>7500</v>
      </c>
      <c r="I206" s="61">
        <v>7100</v>
      </c>
      <c r="J206" s="69" t="s">
        <v>314</v>
      </c>
    </row>
    <row r="207" spans="1:10">
      <c r="A207" s="58">
        <v>206</v>
      </c>
      <c r="B207" s="57">
        <v>18206</v>
      </c>
      <c r="C207" s="57" t="s">
        <v>616</v>
      </c>
      <c r="D207" s="58" t="s">
        <v>617</v>
      </c>
      <c r="E207" s="57" t="s">
        <v>32</v>
      </c>
      <c r="F207" s="60" t="s">
        <v>390</v>
      </c>
      <c r="G207" s="68">
        <v>45451</v>
      </c>
      <c r="H207" s="57">
        <v>7500</v>
      </c>
      <c r="I207" s="61">
        <v>7100</v>
      </c>
      <c r="J207" s="69" t="s">
        <v>314</v>
      </c>
    </row>
    <row r="208" spans="1:10">
      <c r="A208" s="58">
        <v>207</v>
      </c>
      <c r="B208" s="57">
        <v>18207</v>
      </c>
      <c r="C208" s="57" t="s">
        <v>618</v>
      </c>
      <c r="D208" s="57" t="s">
        <v>619</v>
      </c>
      <c r="E208" s="57" t="s">
        <v>54</v>
      </c>
      <c r="F208" s="60" t="s">
        <v>390</v>
      </c>
      <c r="G208" s="68">
        <v>45453</v>
      </c>
      <c r="H208" s="57">
        <v>7500</v>
      </c>
      <c r="I208" s="61">
        <v>6900</v>
      </c>
      <c r="J208" s="69" t="s">
        <v>302</v>
      </c>
    </row>
    <row r="209" spans="1:10">
      <c r="A209" s="58">
        <v>208</v>
      </c>
      <c r="B209" s="57">
        <v>18208</v>
      </c>
      <c r="C209" s="57" t="s">
        <v>620</v>
      </c>
      <c r="D209" s="57" t="s">
        <v>621</v>
      </c>
      <c r="E209" s="57" t="s">
        <v>54</v>
      </c>
      <c r="F209" s="60" t="s">
        <v>390</v>
      </c>
      <c r="G209" s="68">
        <v>45453</v>
      </c>
      <c r="H209" s="57">
        <v>7500</v>
      </c>
      <c r="I209" s="61">
        <v>7500</v>
      </c>
      <c r="J209" s="69" t="s">
        <v>302</v>
      </c>
    </row>
    <row r="210" spans="1:10">
      <c r="A210" s="58">
        <v>209</v>
      </c>
      <c r="B210" s="57">
        <v>18209</v>
      </c>
      <c r="C210" s="57" t="s">
        <v>622</v>
      </c>
      <c r="D210" s="57" t="s">
        <v>623</v>
      </c>
      <c r="E210" s="57" t="s">
        <v>32</v>
      </c>
      <c r="F210" s="60" t="s">
        <v>390</v>
      </c>
      <c r="G210" s="68">
        <v>45453</v>
      </c>
      <c r="H210" s="57">
        <v>7500</v>
      </c>
      <c r="I210" s="61">
        <v>6900</v>
      </c>
      <c r="J210" s="69" t="s">
        <v>337</v>
      </c>
    </row>
    <row r="211" spans="1:10">
      <c r="A211" s="58">
        <v>210</v>
      </c>
      <c r="B211" s="57">
        <v>18210</v>
      </c>
      <c r="C211" s="57" t="s">
        <v>624</v>
      </c>
      <c r="D211" s="57" t="s">
        <v>394</v>
      </c>
      <c r="E211" s="57" t="s">
        <v>32</v>
      </c>
      <c r="F211" s="60" t="s">
        <v>390</v>
      </c>
      <c r="G211" s="68">
        <v>45454</v>
      </c>
      <c r="H211" s="57">
        <v>7500</v>
      </c>
      <c r="I211" s="61">
        <v>6900</v>
      </c>
      <c r="J211" s="69" t="s">
        <v>35</v>
      </c>
    </row>
    <row r="212" spans="1:10">
      <c r="A212" s="58">
        <v>211</v>
      </c>
      <c r="B212" s="57">
        <v>18211</v>
      </c>
      <c r="C212" s="57" t="s">
        <v>625</v>
      </c>
      <c r="D212" s="62" t="s">
        <v>626</v>
      </c>
      <c r="E212" s="57" t="s">
        <v>54</v>
      </c>
      <c r="F212" s="60" t="s">
        <v>390</v>
      </c>
      <c r="G212" s="68">
        <v>45454</v>
      </c>
      <c r="H212" s="57">
        <v>7500</v>
      </c>
      <c r="I212" s="61">
        <v>7500</v>
      </c>
      <c r="J212" s="69" t="s">
        <v>88</v>
      </c>
    </row>
    <row r="213" spans="1:10">
      <c r="A213" s="58">
        <v>212</v>
      </c>
      <c r="B213" s="57">
        <v>18212</v>
      </c>
      <c r="C213" s="57" t="s">
        <v>627</v>
      </c>
      <c r="D213" s="57" t="s">
        <v>628</v>
      </c>
      <c r="E213" s="57" t="s">
        <v>32</v>
      </c>
      <c r="F213" s="60" t="s">
        <v>390</v>
      </c>
      <c r="G213" s="68">
        <v>45454</v>
      </c>
      <c r="H213" s="57">
        <v>7500</v>
      </c>
      <c r="I213" s="61">
        <v>7500</v>
      </c>
      <c r="J213" s="69" t="s">
        <v>295</v>
      </c>
    </row>
    <row r="214" spans="1:10">
      <c r="A214" s="58">
        <v>213</v>
      </c>
      <c r="B214" s="57">
        <v>18213</v>
      </c>
      <c r="C214" s="57" t="s">
        <v>629</v>
      </c>
      <c r="D214" s="57" t="s">
        <v>630</v>
      </c>
      <c r="E214" s="57" t="s">
        <v>32</v>
      </c>
      <c r="F214" s="60" t="s">
        <v>390</v>
      </c>
      <c r="G214" s="68">
        <v>45455</v>
      </c>
      <c r="H214" s="57">
        <v>7500</v>
      </c>
      <c r="I214" s="61">
        <v>6900</v>
      </c>
      <c r="J214" s="69" t="s">
        <v>297</v>
      </c>
    </row>
    <row r="215" spans="1:10">
      <c r="A215" s="58">
        <v>214</v>
      </c>
      <c r="B215" s="57">
        <v>18214</v>
      </c>
      <c r="C215" s="57" t="s">
        <v>550</v>
      </c>
      <c r="D215" s="57" t="s">
        <v>631</v>
      </c>
      <c r="E215" s="57" t="s">
        <v>32</v>
      </c>
      <c r="F215" s="60" t="s">
        <v>390</v>
      </c>
      <c r="G215" s="68">
        <v>45455</v>
      </c>
      <c r="H215" s="57">
        <v>7500</v>
      </c>
      <c r="I215" s="61">
        <v>7500</v>
      </c>
      <c r="J215" s="69" t="s">
        <v>39</v>
      </c>
    </row>
    <row r="216" spans="1:10">
      <c r="A216" s="58">
        <v>215</v>
      </c>
      <c r="B216" s="57">
        <v>18215</v>
      </c>
      <c r="C216" s="57" t="s">
        <v>632</v>
      </c>
      <c r="D216" s="57" t="s">
        <v>633</v>
      </c>
      <c r="E216" s="57" t="s">
        <v>32</v>
      </c>
      <c r="F216" s="60" t="s">
        <v>390</v>
      </c>
      <c r="G216" s="68">
        <v>45455</v>
      </c>
      <c r="H216" s="57">
        <v>7500</v>
      </c>
      <c r="I216" s="61">
        <v>7500</v>
      </c>
      <c r="J216" s="69" t="s">
        <v>299</v>
      </c>
    </row>
    <row r="217" spans="1:10">
      <c r="A217" s="58">
        <v>216</v>
      </c>
      <c r="B217" s="57">
        <v>18216</v>
      </c>
      <c r="C217" s="57" t="s">
        <v>634</v>
      </c>
      <c r="D217" s="57" t="s">
        <v>635</v>
      </c>
      <c r="E217" s="57" t="s">
        <v>54</v>
      </c>
      <c r="F217" s="60" t="s">
        <v>390</v>
      </c>
      <c r="G217" s="68">
        <v>45456</v>
      </c>
      <c r="H217" s="57">
        <v>7500</v>
      </c>
      <c r="I217" s="61">
        <v>7100</v>
      </c>
      <c r="J217" s="69" t="s">
        <v>300</v>
      </c>
    </row>
    <row r="218" spans="1:10">
      <c r="A218" s="58">
        <v>217</v>
      </c>
      <c r="B218" s="57">
        <v>18217</v>
      </c>
      <c r="C218" s="57" t="s">
        <v>636</v>
      </c>
      <c r="D218" s="57" t="s">
        <v>637</v>
      </c>
      <c r="E218" s="57" t="s">
        <v>54</v>
      </c>
      <c r="F218" s="60" t="s">
        <v>390</v>
      </c>
      <c r="G218" s="68">
        <v>45456</v>
      </c>
      <c r="H218" s="57">
        <v>7500</v>
      </c>
      <c r="I218" s="61">
        <v>7500</v>
      </c>
      <c r="J218" s="69" t="s">
        <v>302</v>
      </c>
    </row>
    <row r="219" spans="1:10">
      <c r="A219" s="58">
        <v>218</v>
      </c>
      <c r="B219" s="57">
        <v>18218</v>
      </c>
      <c r="C219" s="57" t="s">
        <v>638</v>
      </c>
      <c r="D219" s="57" t="s">
        <v>639</v>
      </c>
      <c r="E219" s="57" t="s">
        <v>54</v>
      </c>
      <c r="F219" s="60" t="s">
        <v>390</v>
      </c>
      <c r="G219" s="68">
        <v>45456</v>
      </c>
      <c r="H219" s="57">
        <v>7500</v>
      </c>
      <c r="I219" s="61">
        <v>7100</v>
      </c>
      <c r="J219" s="69" t="s">
        <v>304</v>
      </c>
    </row>
    <row r="220" spans="1:10">
      <c r="A220" s="58">
        <v>219</v>
      </c>
      <c r="B220" s="57">
        <v>18219</v>
      </c>
      <c r="C220" s="57" t="s">
        <v>640</v>
      </c>
      <c r="D220" s="57" t="s">
        <v>423</v>
      </c>
      <c r="E220" s="57" t="s">
        <v>32</v>
      </c>
      <c r="F220" s="60" t="s">
        <v>390</v>
      </c>
      <c r="G220" s="68">
        <v>45457</v>
      </c>
      <c r="H220" s="57">
        <v>7500</v>
      </c>
      <c r="I220" s="61">
        <v>6900</v>
      </c>
      <c r="J220" s="69" t="s">
        <v>306</v>
      </c>
    </row>
    <row r="221" spans="1:10">
      <c r="A221" s="58">
        <v>220</v>
      </c>
      <c r="B221" s="57">
        <v>18220</v>
      </c>
      <c r="C221" s="57" t="s">
        <v>641</v>
      </c>
      <c r="D221" s="57" t="s">
        <v>642</v>
      </c>
      <c r="E221" s="57" t="s">
        <v>32</v>
      </c>
      <c r="F221" s="60" t="s">
        <v>390</v>
      </c>
      <c r="G221" s="68">
        <v>45457</v>
      </c>
      <c r="H221" s="57">
        <v>7500</v>
      </c>
      <c r="I221" s="61">
        <v>6900</v>
      </c>
      <c r="J221" s="69" t="s">
        <v>39</v>
      </c>
    </row>
    <row r="222" spans="1:10">
      <c r="A222" s="58">
        <v>221</v>
      </c>
      <c r="B222" s="57">
        <v>18221</v>
      </c>
      <c r="C222" s="57" t="s">
        <v>643</v>
      </c>
      <c r="D222" s="57" t="s">
        <v>644</v>
      </c>
      <c r="E222" s="57" t="s">
        <v>32</v>
      </c>
      <c r="F222" s="60" t="s">
        <v>390</v>
      </c>
      <c r="G222" s="68">
        <v>45457</v>
      </c>
      <c r="H222" s="57">
        <v>7500</v>
      </c>
      <c r="I222" s="61">
        <v>7500</v>
      </c>
      <c r="J222" s="69" t="s">
        <v>299</v>
      </c>
    </row>
    <row r="223" spans="1:10">
      <c r="A223" s="58">
        <v>222</v>
      </c>
      <c r="B223" s="57">
        <v>18222</v>
      </c>
      <c r="C223" s="57" t="s">
        <v>645</v>
      </c>
      <c r="D223" s="57" t="s">
        <v>646</v>
      </c>
      <c r="E223" s="57" t="s">
        <v>54</v>
      </c>
      <c r="F223" s="60" t="s">
        <v>390</v>
      </c>
      <c r="G223" s="68">
        <v>45458</v>
      </c>
      <c r="H223" s="57">
        <v>7500</v>
      </c>
      <c r="I223" s="61">
        <v>6900</v>
      </c>
      <c r="J223" s="69" t="s">
        <v>35</v>
      </c>
    </row>
    <row r="224" spans="1:10">
      <c r="A224" s="58">
        <v>223</v>
      </c>
      <c r="B224" s="57">
        <v>18223</v>
      </c>
      <c r="C224" s="57" t="s">
        <v>647</v>
      </c>
      <c r="D224" s="57" t="s">
        <v>648</v>
      </c>
      <c r="E224" s="57" t="s">
        <v>32</v>
      </c>
      <c r="F224" s="60" t="s">
        <v>390</v>
      </c>
      <c r="G224" s="68">
        <v>45458</v>
      </c>
      <c r="H224" s="57">
        <v>7500</v>
      </c>
      <c r="I224" s="61">
        <v>7500</v>
      </c>
      <c r="J224" s="69" t="s">
        <v>310</v>
      </c>
    </row>
    <row r="225" spans="1:10">
      <c r="A225" s="58">
        <v>224</v>
      </c>
      <c r="B225" s="57">
        <v>18224</v>
      </c>
      <c r="C225" s="57" t="s">
        <v>649</v>
      </c>
      <c r="D225" s="57" t="s">
        <v>650</v>
      </c>
      <c r="E225" s="57" t="s">
        <v>32</v>
      </c>
      <c r="F225" s="60" t="s">
        <v>390</v>
      </c>
      <c r="G225" s="68">
        <v>45458</v>
      </c>
      <c r="H225" s="57">
        <v>7500</v>
      </c>
      <c r="I225" s="61">
        <v>7500</v>
      </c>
      <c r="J225" s="69" t="s">
        <v>70</v>
      </c>
    </row>
    <row r="226" spans="1:10">
      <c r="A226" s="58">
        <v>225</v>
      </c>
      <c r="B226" s="57">
        <v>18225</v>
      </c>
      <c r="C226" s="57" t="s">
        <v>651</v>
      </c>
      <c r="D226" s="57" t="s">
        <v>523</v>
      </c>
      <c r="E226" s="57" t="s">
        <v>32</v>
      </c>
      <c r="F226" s="60" t="s">
        <v>390</v>
      </c>
      <c r="G226" s="68">
        <v>45460</v>
      </c>
      <c r="H226" s="57">
        <v>7500</v>
      </c>
      <c r="I226" s="61">
        <v>7500</v>
      </c>
      <c r="J226" s="69" t="s">
        <v>75</v>
      </c>
    </row>
    <row r="227" spans="1:10">
      <c r="A227" s="58">
        <v>226</v>
      </c>
      <c r="B227" s="57">
        <v>18226</v>
      </c>
      <c r="C227" s="57" t="s">
        <v>652</v>
      </c>
      <c r="D227" s="57" t="s">
        <v>653</v>
      </c>
      <c r="E227" s="57" t="s">
        <v>54</v>
      </c>
      <c r="F227" s="60" t="s">
        <v>390</v>
      </c>
      <c r="G227" s="68">
        <v>45460</v>
      </c>
      <c r="H227" s="57">
        <v>7500</v>
      </c>
      <c r="I227" s="61">
        <v>7500</v>
      </c>
      <c r="J227" s="69" t="s">
        <v>70</v>
      </c>
    </row>
    <row r="228" spans="1:10">
      <c r="A228" s="58">
        <v>227</v>
      </c>
      <c r="B228" s="57">
        <v>18227</v>
      </c>
      <c r="C228" s="57" t="s">
        <v>654</v>
      </c>
      <c r="D228" s="57" t="s">
        <v>655</v>
      </c>
      <c r="E228" s="57" t="s">
        <v>54</v>
      </c>
      <c r="F228" s="60" t="s">
        <v>390</v>
      </c>
      <c r="G228" s="68">
        <v>45460</v>
      </c>
      <c r="H228" s="57">
        <v>7500</v>
      </c>
      <c r="I228" s="61">
        <v>6900</v>
      </c>
      <c r="J228" s="69" t="s">
        <v>75</v>
      </c>
    </row>
    <row r="229" spans="1:10">
      <c r="A229" s="58">
        <v>228</v>
      </c>
      <c r="B229" s="57">
        <v>18228</v>
      </c>
      <c r="C229" s="57" t="s">
        <v>656</v>
      </c>
      <c r="D229" s="57" t="s">
        <v>657</v>
      </c>
      <c r="E229" s="57" t="s">
        <v>32</v>
      </c>
      <c r="F229" s="60" t="s">
        <v>390</v>
      </c>
      <c r="G229" s="68">
        <v>45461</v>
      </c>
      <c r="H229" s="57">
        <v>7500</v>
      </c>
      <c r="I229" s="61">
        <v>7100</v>
      </c>
      <c r="J229" s="69" t="s">
        <v>75</v>
      </c>
    </row>
    <row r="230" spans="1:10">
      <c r="A230" s="58">
        <v>229</v>
      </c>
      <c r="B230" s="57">
        <v>18229</v>
      </c>
      <c r="C230" s="57" t="s">
        <v>658</v>
      </c>
      <c r="D230" s="57" t="s">
        <v>398</v>
      </c>
      <c r="E230" s="57" t="s">
        <v>32</v>
      </c>
      <c r="F230" s="60" t="s">
        <v>390</v>
      </c>
      <c r="G230" s="68">
        <v>45461</v>
      </c>
      <c r="H230" s="57">
        <v>7500</v>
      </c>
      <c r="I230" s="61">
        <v>7100</v>
      </c>
      <c r="J230" s="69" t="s">
        <v>70</v>
      </c>
    </row>
    <row r="231" spans="1:10">
      <c r="A231" s="58">
        <v>230</v>
      </c>
      <c r="B231" s="57">
        <v>18230</v>
      </c>
      <c r="C231" s="57" t="s">
        <v>659</v>
      </c>
      <c r="D231" s="57" t="s">
        <v>660</v>
      </c>
      <c r="E231" s="57" t="s">
        <v>32</v>
      </c>
      <c r="F231" s="60" t="s">
        <v>390</v>
      </c>
      <c r="G231" s="68">
        <v>45461</v>
      </c>
      <c r="H231" s="57">
        <v>7500</v>
      </c>
      <c r="I231" s="61">
        <v>7500</v>
      </c>
      <c r="J231" s="69" t="s">
        <v>88</v>
      </c>
    </row>
    <row r="232" spans="1:10">
      <c r="A232" s="58">
        <v>231</v>
      </c>
      <c r="B232" s="57">
        <v>18231</v>
      </c>
      <c r="C232" s="57" t="s">
        <v>661</v>
      </c>
      <c r="D232" s="57" t="s">
        <v>662</v>
      </c>
      <c r="E232" s="57" t="s">
        <v>54</v>
      </c>
      <c r="F232" s="60" t="s">
        <v>390</v>
      </c>
      <c r="G232" s="68">
        <v>45462</v>
      </c>
      <c r="H232" s="57">
        <v>7500</v>
      </c>
      <c r="I232" s="61">
        <v>7500</v>
      </c>
      <c r="J232" s="69" t="s">
        <v>314</v>
      </c>
    </row>
    <row r="233" spans="1:10">
      <c r="A233" s="58">
        <v>232</v>
      </c>
      <c r="B233" s="57">
        <v>18232</v>
      </c>
      <c r="C233" s="57" t="s">
        <v>57</v>
      </c>
      <c r="D233" s="57" t="s">
        <v>663</v>
      </c>
      <c r="E233" s="57" t="s">
        <v>54</v>
      </c>
      <c r="F233" s="60" t="s">
        <v>390</v>
      </c>
      <c r="G233" s="68">
        <v>45462</v>
      </c>
      <c r="H233" s="57">
        <v>7500</v>
      </c>
      <c r="I233" s="61">
        <v>6900</v>
      </c>
      <c r="J233" s="69" t="s">
        <v>39</v>
      </c>
    </row>
    <row r="234" spans="1:10">
      <c r="A234" s="58">
        <v>233</v>
      </c>
      <c r="B234" s="57">
        <v>18233</v>
      </c>
      <c r="C234" s="57" t="s">
        <v>664</v>
      </c>
      <c r="D234" s="57" t="s">
        <v>665</v>
      </c>
      <c r="E234" s="57" t="s">
        <v>32</v>
      </c>
      <c r="F234" s="60" t="s">
        <v>390</v>
      </c>
      <c r="G234" s="68">
        <v>45462</v>
      </c>
      <c r="H234" s="57">
        <v>7500</v>
      </c>
      <c r="I234" s="61">
        <v>6900</v>
      </c>
      <c r="J234" s="69" t="s">
        <v>299</v>
      </c>
    </row>
    <row r="235" spans="1:10">
      <c r="A235" s="58">
        <v>234</v>
      </c>
      <c r="B235" s="57">
        <v>18234</v>
      </c>
      <c r="C235" s="57" t="s">
        <v>666</v>
      </c>
      <c r="D235" s="57" t="s">
        <v>667</v>
      </c>
      <c r="E235" s="57" t="s">
        <v>54</v>
      </c>
      <c r="F235" s="60" t="s">
        <v>390</v>
      </c>
      <c r="G235" s="68">
        <v>45463</v>
      </c>
      <c r="H235" s="57">
        <v>7500</v>
      </c>
      <c r="I235" s="61">
        <v>7500</v>
      </c>
      <c r="J235" s="69" t="s">
        <v>299</v>
      </c>
    </row>
    <row r="236" spans="1:10">
      <c r="A236" s="58">
        <v>235</v>
      </c>
      <c r="B236" s="57">
        <v>18235</v>
      </c>
      <c r="C236" s="57" t="s">
        <v>668</v>
      </c>
      <c r="D236" s="57" t="s">
        <v>669</v>
      </c>
      <c r="E236" s="57" t="s">
        <v>32</v>
      </c>
      <c r="F236" s="60" t="s">
        <v>390</v>
      </c>
      <c r="G236" s="68">
        <v>45463</v>
      </c>
      <c r="H236" s="57">
        <v>7500</v>
      </c>
      <c r="I236" s="61">
        <v>6900</v>
      </c>
      <c r="J236" s="69" t="s">
        <v>322</v>
      </c>
    </row>
    <row r="237" spans="1:10">
      <c r="A237" s="58">
        <v>236</v>
      </c>
      <c r="B237" s="57">
        <v>18236</v>
      </c>
      <c r="C237" s="57" t="s">
        <v>670</v>
      </c>
      <c r="D237" s="57" t="s">
        <v>396</v>
      </c>
      <c r="E237" s="57" t="s">
        <v>32</v>
      </c>
      <c r="F237" s="60" t="s">
        <v>390</v>
      </c>
      <c r="G237" s="68">
        <v>45463</v>
      </c>
      <c r="H237" s="57">
        <v>7500</v>
      </c>
      <c r="I237" s="61">
        <v>7500</v>
      </c>
      <c r="J237" s="69" t="s">
        <v>325</v>
      </c>
    </row>
    <row r="238" spans="1:10">
      <c r="A238" s="58">
        <v>237</v>
      </c>
      <c r="B238" s="57">
        <v>18237</v>
      </c>
      <c r="C238" s="57" t="s">
        <v>671</v>
      </c>
      <c r="D238" s="57" t="s">
        <v>672</v>
      </c>
      <c r="E238" s="57" t="s">
        <v>32</v>
      </c>
      <c r="F238" s="60" t="s">
        <v>390</v>
      </c>
      <c r="G238" s="68">
        <v>45464</v>
      </c>
      <c r="H238" s="57">
        <v>7500</v>
      </c>
      <c r="I238" s="61">
        <v>7500</v>
      </c>
      <c r="J238" s="69" t="s">
        <v>295</v>
      </c>
    </row>
    <row r="239" spans="1:10">
      <c r="A239" s="58">
        <v>238</v>
      </c>
      <c r="B239" s="57">
        <v>18238</v>
      </c>
      <c r="C239" s="57" t="s">
        <v>673</v>
      </c>
      <c r="D239" s="57" t="s">
        <v>434</v>
      </c>
      <c r="E239" s="57" t="s">
        <v>32</v>
      </c>
      <c r="F239" s="60" t="s">
        <v>390</v>
      </c>
      <c r="G239" s="68">
        <v>45464</v>
      </c>
      <c r="H239" s="57">
        <v>7500</v>
      </c>
      <c r="I239" s="61">
        <v>7500</v>
      </c>
      <c r="J239" s="69" t="s">
        <v>314</v>
      </c>
    </row>
    <row r="240" spans="1:10">
      <c r="A240" s="58">
        <v>239</v>
      </c>
      <c r="B240" s="57">
        <v>18239</v>
      </c>
      <c r="C240" s="57" t="s">
        <v>674</v>
      </c>
      <c r="D240" s="57" t="s">
        <v>675</v>
      </c>
      <c r="E240" s="57" t="s">
        <v>32</v>
      </c>
      <c r="F240" s="60" t="s">
        <v>390</v>
      </c>
      <c r="G240" s="68">
        <v>45464</v>
      </c>
      <c r="H240" s="57">
        <v>7500</v>
      </c>
      <c r="I240" s="61">
        <v>6900</v>
      </c>
      <c r="J240" s="69" t="s">
        <v>314</v>
      </c>
    </row>
    <row r="241" spans="1:10">
      <c r="A241" s="58">
        <v>240</v>
      </c>
      <c r="B241" s="57">
        <v>18240</v>
      </c>
      <c r="C241" s="57" t="s">
        <v>676</v>
      </c>
      <c r="D241" s="57" t="s">
        <v>677</v>
      </c>
      <c r="E241" s="57" t="s">
        <v>54</v>
      </c>
      <c r="F241" s="60" t="s">
        <v>390</v>
      </c>
      <c r="G241" s="68">
        <v>45465</v>
      </c>
      <c r="H241" s="57">
        <v>7500</v>
      </c>
      <c r="I241" s="61">
        <v>7100</v>
      </c>
      <c r="J241" s="69" t="s">
        <v>302</v>
      </c>
    </row>
    <row r="242" spans="1:10">
      <c r="A242" s="58">
        <v>241</v>
      </c>
      <c r="B242" s="57">
        <v>18241</v>
      </c>
      <c r="C242" s="57" t="s">
        <v>678</v>
      </c>
      <c r="D242" s="57" t="s">
        <v>679</v>
      </c>
      <c r="E242" s="57" t="s">
        <v>54</v>
      </c>
      <c r="F242" s="60" t="s">
        <v>390</v>
      </c>
      <c r="G242" s="68">
        <v>45465</v>
      </c>
      <c r="H242" s="57">
        <v>7500</v>
      </c>
      <c r="I242" s="61">
        <v>7100</v>
      </c>
      <c r="J242" s="69" t="s">
        <v>302</v>
      </c>
    </row>
    <row r="243" spans="1:10">
      <c r="A243" s="58">
        <v>242</v>
      </c>
      <c r="B243" s="57">
        <v>18242</v>
      </c>
      <c r="C243" s="57" t="s">
        <v>680</v>
      </c>
      <c r="D243" s="57" t="s">
        <v>681</v>
      </c>
      <c r="E243" s="57" t="s">
        <v>54</v>
      </c>
      <c r="F243" s="60" t="s">
        <v>390</v>
      </c>
      <c r="G243" s="68">
        <v>45465</v>
      </c>
      <c r="H243" s="57">
        <v>7500</v>
      </c>
      <c r="I243" s="61">
        <v>7500</v>
      </c>
      <c r="J243" s="69" t="s">
        <v>337</v>
      </c>
    </row>
    <row r="244" spans="1:10">
      <c r="A244" s="58">
        <v>243</v>
      </c>
      <c r="B244" s="57">
        <v>18243</v>
      </c>
      <c r="C244" s="57" t="s">
        <v>682</v>
      </c>
      <c r="D244" s="57" t="s">
        <v>503</v>
      </c>
      <c r="E244" s="57" t="s">
        <v>32</v>
      </c>
      <c r="F244" s="60" t="s">
        <v>390</v>
      </c>
      <c r="G244" s="68">
        <v>45467</v>
      </c>
      <c r="H244" s="57">
        <v>7500</v>
      </c>
      <c r="I244" s="61">
        <v>6900</v>
      </c>
      <c r="J244" s="69" t="s">
        <v>35</v>
      </c>
    </row>
    <row r="245" spans="1:10">
      <c r="A245" s="58">
        <v>244</v>
      </c>
      <c r="B245" s="57">
        <v>18244</v>
      </c>
      <c r="C245" s="57" t="s">
        <v>683</v>
      </c>
      <c r="D245" s="57" t="s">
        <v>440</v>
      </c>
      <c r="E245" s="57" t="s">
        <v>32</v>
      </c>
      <c r="F245" s="60" t="s">
        <v>390</v>
      </c>
      <c r="G245" s="68">
        <v>45467</v>
      </c>
      <c r="H245" s="57">
        <v>7500</v>
      </c>
      <c r="I245" s="61">
        <v>2000</v>
      </c>
      <c r="J245" s="69" t="s">
        <v>88</v>
      </c>
    </row>
    <row r="246" spans="1:10">
      <c r="A246" s="58">
        <v>245</v>
      </c>
      <c r="B246" s="57">
        <v>18245</v>
      </c>
      <c r="C246" s="57" t="s">
        <v>684</v>
      </c>
      <c r="D246" s="58" t="s">
        <v>685</v>
      </c>
      <c r="E246" s="57" t="s">
        <v>32</v>
      </c>
      <c r="F246" s="60" t="s">
        <v>390</v>
      </c>
      <c r="G246" s="68">
        <v>45467</v>
      </c>
      <c r="H246" s="57">
        <v>7500</v>
      </c>
      <c r="I246" s="61">
        <v>7500</v>
      </c>
      <c r="J246" s="69" t="s">
        <v>295</v>
      </c>
    </row>
    <row r="247" spans="1:10">
      <c r="A247" s="58">
        <v>246</v>
      </c>
      <c r="B247" s="57">
        <v>18246</v>
      </c>
      <c r="C247" s="57" t="s">
        <v>686</v>
      </c>
      <c r="D247" s="57" t="s">
        <v>687</v>
      </c>
      <c r="E247" s="57" t="s">
        <v>32</v>
      </c>
      <c r="F247" s="60" t="s">
        <v>390</v>
      </c>
      <c r="G247" s="68">
        <v>45468</v>
      </c>
      <c r="H247" s="57">
        <v>7500</v>
      </c>
      <c r="I247" s="61">
        <v>7500</v>
      </c>
      <c r="J247" s="69" t="s">
        <v>297</v>
      </c>
    </row>
    <row r="248" spans="1:10">
      <c r="A248" s="58">
        <v>247</v>
      </c>
      <c r="B248" s="57">
        <v>18247</v>
      </c>
      <c r="C248" s="57" t="s">
        <v>688</v>
      </c>
      <c r="D248" s="57" t="s">
        <v>689</v>
      </c>
      <c r="E248" s="57" t="s">
        <v>54</v>
      </c>
      <c r="F248" s="60" t="s">
        <v>390</v>
      </c>
      <c r="G248" s="68">
        <v>45468</v>
      </c>
      <c r="H248" s="57">
        <v>7500</v>
      </c>
      <c r="I248" s="61">
        <v>6900</v>
      </c>
      <c r="J248" s="69" t="s">
        <v>39</v>
      </c>
    </row>
    <row r="249" spans="1:10">
      <c r="A249" s="58">
        <v>248</v>
      </c>
      <c r="B249" s="57">
        <v>18248</v>
      </c>
      <c r="C249" s="57" t="s">
        <v>690</v>
      </c>
      <c r="D249" s="57" t="s">
        <v>691</v>
      </c>
      <c r="E249" s="57" t="s">
        <v>32</v>
      </c>
      <c r="F249" s="60" t="s">
        <v>390</v>
      </c>
      <c r="G249" s="68">
        <v>45468</v>
      </c>
      <c r="H249" s="57">
        <v>7500</v>
      </c>
      <c r="I249" s="61">
        <v>7500</v>
      </c>
      <c r="J249" s="69" t="s">
        <v>299</v>
      </c>
    </row>
    <row r="250" spans="1:10">
      <c r="A250" s="58">
        <v>249</v>
      </c>
      <c r="B250" s="57">
        <v>18249</v>
      </c>
      <c r="C250" s="57" t="s">
        <v>692</v>
      </c>
      <c r="D250" s="57" t="s">
        <v>693</v>
      </c>
      <c r="E250" s="57" t="s">
        <v>54</v>
      </c>
      <c r="F250" s="60" t="s">
        <v>390</v>
      </c>
      <c r="G250" s="68">
        <v>45469</v>
      </c>
      <c r="H250" s="57">
        <v>7500</v>
      </c>
      <c r="I250" s="61">
        <v>7500</v>
      </c>
      <c r="J250" s="69" t="s">
        <v>300</v>
      </c>
    </row>
    <row r="251" spans="1:10">
      <c r="A251" s="58">
        <v>250</v>
      </c>
      <c r="B251" s="57">
        <v>18250</v>
      </c>
      <c r="C251" s="57" t="s">
        <v>694</v>
      </c>
      <c r="D251" s="57" t="s">
        <v>695</v>
      </c>
      <c r="E251" s="57" t="s">
        <v>54</v>
      </c>
      <c r="F251" s="60" t="s">
        <v>390</v>
      </c>
      <c r="G251" s="68">
        <v>45469</v>
      </c>
      <c r="H251" s="57">
        <v>7500</v>
      </c>
      <c r="I251" s="61">
        <v>6900</v>
      </c>
      <c r="J251" s="69" t="s">
        <v>302</v>
      </c>
    </row>
    <row r="252" spans="1:10">
      <c r="A252" s="58">
        <v>251</v>
      </c>
      <c r="B252" s="57">
        <v>18251</v>
      </c>
      <c r="C252" s="57" t="s">
        <v>696</v>
      </c>
      <c r="D252" s="57" t="s">
        <v>697</v>
      </c>
      <c r="E252" s="57" t="s">
        <v>32</v>
      </c>
      <c r="F252" s="60" t="s">
        <v>390</v>
      </c>
      <c r="G252" s="68">
        <v>45469</v>
      </c>
      <c r="H252" s="57">
        <v>7500</v>
      </c>
      <c r="I252" s="61">
        <v>7500</v>
      </c>
      <c r="J252" s="69" t="s">
        <v>304</v>
      </c>
    </row>
    <row r="253" spans="1:10">
      <c r="A253" s="58">
        <v>252</v>
      </c>
      <c r="B253" s="57">
        <v>18252</v>
      </c>
      <c r="C253" s="57" t="s">
        <v>698</v>
      </c>
      <c r="D253" s="57" t="s">
        <v>699</v>
      </c>
      <c r="E253" s="57" t="s">
        <v>32</v>
      </c>
      <c r="F253" s="60" t="s">
        <v>390</v>
      </c>
      <c r="G253" s="68">
        <v>45470</v>
      </c>
      <c r="H253" s="57">
        <v>7500</v>
      </c>
      <c r="I253" s="61">
        <v>7100</v>
      </c>
      <c r="J253" s="69" t="s">
        <v>306</v>
      </c>
    </row>
    <row r="254" spans="1:10">
      <c r="A254" s="58">
        <v>253</v>
      </c>
      <c r="B254" s="57">
        <v>18253</v>
      </c>
      <c r="C254" s="57" t="s">
        <v>700</v>
      </c>
      <c r="D254" s="57" t="s">
        <v>701</v>
      </c>
      <c r="E254" s="57" t="s">
        <v>32</v>
      </c>
      <c r="F254" s="60" t="s">
        <v>390</v>
      </c>
      <c r="G254" s="68">
        <v>45470</v>
      </c>
      <c r="H254" s="57">
        <v>7500</v>
      </c>
      <c r="I254" s="61">
        <v>7500</v>
      </c>
      <c r="J254" s="69" t="s">
        <v>39</v>
      </c>
    </row>
    <row r="255" spans="1:10">
      <c r="A255" s="58">
        <v>254</v>
      </c>
      <c r="B255" s="57">
        <v>18254</v>
      </c>
      <c r="C255" s="57" t="s">
        <v>702</v>
      </c>
      <c r="D255" s="57" t="s">
        <v>703</v>
      </c>
      <c r="E255" s="57" t="s">
        <v>32</v>
      </c>
      <c r="F255" s="60" t="s">
        <v>390</v>
      </c>
      <c r="G255" s="68">
        <v>45470</v>
      </c>
      <c r="H255" s="57">
        <v>7500</v>
      </c>
      <c r="I255" s="61">
        <v>7100</v>
      </c>
      <c r="J255" s="69" t="s">
        <v>299</v>
      </c>
    </row>
    <row r="256" spans="1:10">
      <c r="A256" s="58">
        <v>255</v>
      </c>
      <c r="B256" s="57">
        <v>18255</v>
      </c>
      <c r="C256" s="57" t="s">
        <v>378</v>
      </c>
      <c r="D256" s="57" t="s">
        <v>704</v>
      </c>
      <c r="E256" s="57" t="s">
        <v>54</v>
      </c>
      <c r="F256" s="60" t="s">
        <v>390</v>
      </c>
      <c r="G256" s="68">
        <v>45471</v>
      </c>
      <c r="H256" s="57">
        <v>7500</v>
      </c>
      <c r="I256" s="61">
        <v>7500</v>
      </c>
      <c r="J256" s="69" t="s">
        <v>35</v>
      </c>
    </row>
    <row r="257" spans="1:10">
      <c r="A257" s="58">
        <v>256</v>
      </c>
      <c r="B257" s="57">
        <v>18256</v>
      </c>
      <c r="C257" s="57" t="s">
        <v>705</v>
      </c>
      <c r="D257" s="57" t="s">
        <v>363</v>
      </c>
      <c r="E257" s="57" t="s">
        <v>54</v>
      </c>
      <c r="F257" s="60" t="s">
        <v>390</v>
      </c>
      <c r="G257" s="68">
        <v>45471</v>
      </c>
      <c r="H257" s="57">
        <v>7500</v>
      </c>
      <c r="I257" s="61">
        <v>6900</v>
      </c>
      <c r="J257" s="69" t="s">
        <v>310</v>
      </c>
    </row>
    <row r="258" spans="1:10">
      <c r="A258" s="58">
        <v>257</v>
      </c>
      <c r="B258" s="57">
        <v>18257</v>
      </c>
      <c r="C258" s="57" t="s">
        <v>706</v>
      </c>
      <c r="D258" s="57" t="s">
        <v>707</v>
      </c>
      <c r="E258" s="57" t="s">
        <v>32</v>
      </c>
      <c r="F258" s="60" t="s">
        <v>390</v>
      </c>
      <c r="G258" s="68">
        <v>45471</v>
      </c>
      <c r="H258" s="57">
        <v>7500</v>
      </c>
      <c r="I258" s="61">
        <v>6900</v>
      </c>
      <c r="J258" s="69" t="s">
        <v>70</v>
      </c>
    </row>
    <row r="259" spans="1:10">
      <c r="A259" s="58">
        <v>258</v>
      </c>
      <c r="B259" s="57">
        <v>18258</v>
      </c>
      <c r="C259" s="57" t="s">
        <v>708</v>
      </c>
      <c r="D259" s="57" t="s">
        <v>363</v>
      </c>
      <c r="E259" s="57" t="s">
        <v>32</v>
      </c>
      <c r="F259" s="60" t="s">
        <v>390</v>
      </c>
      <c r="G259" s="68">
        <v>45472</v>
      </c>
      <c r="H259" s="57">
        <v>7500</v>
      </c>
      <c r="I259" s="61">
        <v>7500</v>
      </c>
      <c r="J259" s="69" t="s">
        <v>75</v>
      </c>
    </row>
    <row r="260" spans="1:10">
      <c r="A260" s="58">
        <v>259</v>
      </c>
      <c r="B260" s="57">
        <v>18259</v>
      </c>
      <c r="C260" s="57" t="s">
        <v>709</v>
      </c>
      <c r="D260" s="57" t="s">
        <v>710</v>
      </c>
      <c r="E260" s="57" t="s">
        <v>32</v>
      </c>
      <c r="F260" s="60" t="s">
        <v>390</v>
      </c>
      <c r="G260" s="68">
        <v>45472</v>
      </c>
      <c r="H260" s="57">
        <v>7500</v>
      </c>
      <c r="I260" s="61">
        <v>6900</v>
      </c>
      <c r="J260" s="69" t="s">
        <v>70</v>
      </c>
    </row>
    <row r="261" spans="1:10">
      <c r="A261" s="58">
        <v>260</v>
      </c>
      <c r="B261" s="57">
        <v>18260</v>
      </c>
      <c r="C261" s="57" t="s">
        <v>711</v>
      </c>
      <c r="D261" s="57" t="s">
        <v>712</v>
      </c>
      <c r="E261" s="57" t="s">
        <v>54</v>
      </c>
      <c r="F261" s="60" t="s">
        <v>390</v>
      </c>
      <c r="G261" s="68">
        <v>45472</v>
      </c>
      <c r="H261" s="57">
        <v>7500</v>
      </c>
      <c r="I261" s="61">
        <v>7500</v>
      </c>
      <c r="J261" s="69" t="s">
        <v>75</v>
      </c>
    </row>
    <row r="262" spans="1:10">
      <c r="A262" s="58">
        <v>261</v>
      </c>
      <c r="B262" s="57">
        <v>18261</v>
      </c>
      <c r="C262" s="57" t="s">
        <v>713</v>
      </c>
      <c r="D262" s="57" t="s">
        <v>473</v>
      </c>
      <c r="E262" s="57" t="s">
        <v>32</v>
      </c>
      <c r="F262" s="60" t="s">
        <v>390</v>
      </c>
      <c r="G262" s="68">
        <v>45474</v>
      </c>
      <c r="H262" s="57">
        <v>7500</v>
      </c>
      <c r="I262" s="61">
        <v>7500</v>
      </c>
      <c r="J262" s="69" t="s">
        <v>75</v>
      </c>
    </row>
    <row r="263" spans="1:10">
      <c r="A263" s="58">
        <v>262</v>
      </c>
      <c r="B263" s="57">
        <v>18262</v>
      </c>
      <c r="C263" s="57" t="s">
        <v>714</v>
      </c>
      <c r="D263" s="57" t="s">
        <v>715</v>
      </c>
      <c r="E263" s="57" t="s">
        <v>32</v>
      </c>
      <c r="F263" s="60" t="s">
        <v>390</v>
      </c>
      <c r="G263" s="68">
        <v>45474</v>
      </c>
      <c r="H263" s="57">
        <v>7500</v>
      </c>
      <c r="I263" s="61">
        <v>6900</v>
      </c>
      <c r="J263" s="69" t="s">
        <v>70</v>
      </c>
    </row>
    <row r="264" spans="1:10">
      <c r="A264" s="58">
        <v>263</v>
      </c>
      <c r="B264" s="57">
        <v>18263</v>
      </c>
      <c r="C264" s="57" t="s">
        <v>716</v>
      </c>
      <c r="D264" s="57" t="s">
        <v>396</v>
      </c>
      <c r="E264" s="57" t="s">
        <v>32</v>
      </c>
      <c r="F264" s="60" t="s">
        <v>390</v>
      </c>
      <c r="G264" s="68">
        <v>45474</v>
      </c>
      <c r="H264" s="57">
        <v>7500</v>
      </c>
      <c r="I264" s="61">
        <v>7500</v>
      </c>
      <c r="J264" s="69" t="s">
        <v>88</v>
      </c>
    </row>
    <row r="265" spans="1:10">
      <c r="A265" s="58">
        <v>264</v>
      </c>
      <c r="B265" s="57">
        <v>18264</v>
      </c>
      <c r="C265" s="57" t="s">
        <v>717</v>
      </c>
      <c r="D265" s="57" t="s">
        <v>718</v>
      </c>
      <c r="E265" s="57" t="s">
        <v>54</v>
      </c>
      <c r="F265" s="60" t="s">
        <v>390</v>
      </c>
      <c r="G265" s="68">
        <v>45475</v>
      </c>
      <c r="H265" s="57">
        <v>7500</v>
      </c>
      <c r="I265" s="61">
        <v>7100</v>
      </c>
      <c r="J265" s="69" t="s">
        <v>314</v>
      </c>
    </row>
    <row r="266" spans="1:10">
      <c r="A266" s="58">
        <v>265</v>
      </c>
      <c r="B266" s="57">
        <v>18265</v>
      </c>
      <c r="C266" s="57" t="s">
        <v>719</v>
      </c>
      <c r="D266" s="57" t="s">
        <v>720</v>
      </c>
      <c r="E266" s="57" t="s">
        <v>54</v>
      </c>
      <c r="F266" s="60" t="s">
        <v>390</v>
      </c>
      <c r="G266" s="68">
        <v>45475</v>
      </c>
      <c r="H266" s="57">
        <v>7500</v>
      </c>
      <c r="I266" s="61">
        <v>7500</v>
      </c>
      <c r="J266" s="69" t="s">
        <v>39</v>
      </c>
    </row>
    <row r="267" spans="1:10">
      <c r="A267" s="58">
        <v>266</v>
      </c>
      <c r="B267" s="57">
        <v>18266</v>
      </c>
      <c r="C267" s="57" t="s">
        <v>721</v>
      </c>
      <c r="D267" s="58" t="s">
        <v>722</v>
      </c>
      <c r="E267" s="57" t="s">
        <v>54</v>
      </c>
      <c r="F267" s="60" t="s">
        <v>390</v>
      </c>
      <c r="G267" s="68">
        <v>45475</v>
      </c>
      <c r="H267" s="57">
        <v>7500</v>
      </c>
      <c r="I267" s="61">
        <v>7100</v>
      </c>
      <c r="J267" s="69" t="s">
        <v>299</v>
      </c>
    </row>
    <row r="268" spans="1:10">
      <c r="A268" s="58">
        <v>267</v>
      </c>
      <c r="B268" s="57">
        <v>18267</v>
      </c>
      <c r="C268" s="57" t="s">
        <v>723</v>
      </c>
      <c r="D268" s="57" t="s">
        <v>724</v>
      </c>
      <c r="E268" s="57" t="s">
        <v>32</v>
      </c>
      <c r="F268" s="60" t="s">
        <v>390</v>
      </c>
      <c r="G268" s="68">
        <v>45476</v>
      </c>
      <c r="H268" s="57">
        <v>7500</v>
      </c>
      <c r="I268" s="61">
        <v>7500</v>
      </c>
      <c r="J268" s="69" t="s">
        <v>299</v>
      </c>
    </row>
    <row r="269" spans="1:10">
      <c r="A269" s="58">
        <v>268</v>
      </c>
      <c r="B269" s="57">
        <v>18268</v>
      </c>
      <c r="C269" s="57" t="s">
        <v>725</v>
      </c>
      <c r="D269" s="57" t="s">
        <v>360</v>
      </c>
      <c r="E269" s="57" t="s">
        <v>32</v>
      </c>
      <c r="F269" s="60" t="s">
        <v>390</v>
      </c>
      <c r="G269" s="68">
        <v>45476</v>
      </c>
      <c r="H269" s="57">
        <v>7500</v>
      </c>
      <c r="I269" s="61">
        <v>6900</v>
      </c>
      <c r="J269" s="69" t="s">
        <v>322</v>
      </c>
    </row>
    <row r="270" spans="1:10">
      <c r="A270" s="58">
        <v>269</v>
      </c>
      <c r="B270" s="57">
        <v>18269</v>
      </c>
      <c r="C270" s="57" t="s">
        <v>726</v>
      </c>
      <c r="D270" s="58" t="s">
        <v>727</v>
      </c>
      <c r="E270" s="57" t="s">
        <v>32</v>
      </c>
      <c r="F270" s="60" t="s">
        <v>390</v>
      </c>
      <c r="G270" s="68">
        <v>45476</v>
      </c>
      <c r="H270" s="57">
        <v>7500</v>
      </c>
      <c r="I270" s="61">
        <v>2000</v>
      </c>
      <c r="J270" s="69" t="s">
        <v>325</v>
      </c>
    </row>
    <row r="271" spans="1:10">
      <c r="A271" s="58">
        <v>270</v>
      </c>
      <c r="B271" s="57">
        <v>18270</v>
      </c>
      <c r="C271" s="57" t="s">
        <v>728</v>
      </c>
      <c r="D271" s="57" t="s">
        <v>729</v>
      </c>
      <c r="E271" s="57" t="s">
        <v>54</v>
      </c>
      <c r="F271" s="60" t="s">
        <v>390</v>
      </c>
      <c r="G271" s="68">
        <v>45477</v>
      </c>
      <c r="H271" s="57">
        <v>7500</v>
      </c>
      <c r="I271" s="61">
        <v>6900</v>
      </c>
      <c r="J271" s="69" t="s">
        <v>295</v>
      </c>
    </row>
    <row r="272" spans="1:10">
      <c r="A272" s="58">
        <v>271</v>
      </c>
      <c r="B272" s="57">
        <v>18271</v>
      </c>
      <c r="C272" s="57" t="s">
        <v>730</v>
      </c>
      <c r="D272" s="57" t="s">
        <v>518</v>
      </c>
      <c r="E272" s="57" t="s">
        <v>32</v>
      </c>
      <c r="F272" s="60" t="s">
        <v>390</v>
      </c>
      <c r="G272" s="68">
        <v>45477</v>
      </c>
      <c r="H272" s="57">
        <v>7500</v>
      </c>
      <c r="I272" s="61">
        <v>2000</v>
      </c>
      <c r="J272" s="69" t="s">
        <v>314</v>
      </c>
    </row>
    <row r="273" spans="1:10">
      <c r="A273" s="58">
        <v>272</v>
      </c>
      <c r="B273" s="57">
        <v>18272</v>
      </c>
      <c r="C273" s="57" t="s">
        <v>731</v>
      </c>
      <c r="D273" s="57" t="s">
        <v>732</v>
      </c>
      <c r="E273" s="57" t="s">
        <v>32</v>
      </c>
      <c r="F273" s="60" t="s">
        <v>390</v>
      </c>
      <c r="G273" s="68">
        <v>45477</v>
      </c>
      <c r="H273" s="57">
        <v>7500</v>
      </c>
      <c r="I273" s="61">
        <v>7500</v>
      </c>
      <c r="J273" s="69" t="s">
        <v>314</v>
      </c>
    </row>
    <row r="274" spans="1:10">
      <c r="A274" s="58">
        <v>273</v>
      </c>
      <c r="B274" s="57">
        <v>18273</v>
      </c>
      <c r="C274" s="57" t="s">
        <v>733</v>
      </c>
      <c r="D274" s="57" t="s">
        <v>324</v>
      </c>
      <c r="E274" s="57" t="s">
        <v>54</v>
      </c>
      <c r="F274" s="60" t="s">
        <v>390</v>
      </c>
      <c r="G274" s="68">
        <v>45478</v>
      </c>
      <c r="H274" s="57">
        <v>7500</v>
      </c>
      <c r="I274" s="61">
        <v>7500</v>
      </c>
      <c r="J274" s="69" t="s">
        <v>302</v>
      </c>
    </row>
    <row r="275" spans="1:10">
      <c r="A275" s="58">
        <v>274</v>
      </c>
      <c r="B275" s="57">
        <v>18274</v>
      </c>
      <c r="C275" s="57" t="s">
        <v>734</v>
      </c>
      <c r="D275" s="57" t="s">
        <v>305</v>
      </c>
      <c r="E275" s="57" t="s">
        <v>32</v>
      </c>
      <c r="F275" s="60" t="s">
        <v>390</v>
      </c>
      <c r="G275" s="68">
        <v>45478</v>
      </c>
      <c r="H275" s="57">
        <v>7500</v>
      </c>
      <c r="I275" s="61">
        <v>7500</v>
      </c>
      <c r="J275" s="69" t="s">
        <v>302</v>
      </c>
    </row>
    <row r="276" spans="1:10">
      <c r="A276" s="58">
        <v>275</v>
      </c>
      <c r="B276" s="57">
        <v>18275</v>
      </c>
      <c r="C276" s="57" t="s">
        <v>668</v>
      </c>
      <c r="D276" s="57" t="s">
        <v>735</v>
      </c>
      <c r="E276" s="57" t="s">
        <v>54</v>
      </c>
      <c r="F276" s="60" t="s">
        <v>390</v>
      </c>
      <c r="G276" s="68">
        <v>45478</v>
      </c>
      <c r="H276" s="57">
        <v>7500</v>
      </c>
      <c r="I276" s="61">
        <v>6900</v>
      </c>
      <c r="J276" s="69" t="s">
        <v>337</v>
      </c>
    </row>
    <row r="277" spans="1:10">
      <c r="A277" s="58">
        <v>276</v>
      </c>
      <c r="B277" s="57">
        <v>18276</v>
      </c>
      <c r="C277" s="57" t="s">
        <v>736</v>
      </c>
      <c r="D277" s="57" t="s">
        <v>737</v>
      </c>
      <c r="E277" s="57" t="s">
        <v>32</v>
      </c>
      <c r="F277" s="60" t="s">
        <v>390</v>
      </c>
      <c r="G277" s="68">
        <v>45479</v>
      </c>
      <c r="H277" s="57">
        <v>7500</v>
      </c>
      <c r="I277" s="61">
        <v>7100</v>
      </c>
      <c r="J277" s="69" t="s">
        <v>297</v>
      </c>
    </row>
    <row r="278" spans="1:10">
      <c r="A278" s="58">
        <v>277</v>
      </c>
      <c r="B278" s="57">
        <v>18277</v>
      </c>
      <c r="C278" s="57" t="s">
        <v>738</v>
      </c>
      <c r="D278" s="57" t="s">
        <v>739</v>
      </c>
      <c r="E278" s="57" t="s">
        <v>32</v>
      </c>
      <c r="F278" s="60" t="s">
        <v>390</v>
      </c>
      <c r="G278" s="68">
        <v>45479</v>
      </c>
      <c r="H278" s="57">
        <v>7500</v>
      </c>
      <c r="I278" s="61">
        <v>7100</v>
      </c>
      <c r="J278" s="69" t="s">
        <v>310</v>
      </c>
    </row>
    <row r="279" spans="1:10">
      <c r="A279" s="58">
        <v>278</v>
      </c>
      <c r="B279" s="57">
        <v>18278</v>
      </c>
      <c r="C279" s="57" t="s">
        <v>57</v>
      </c>
      <c r="D279" s="57" t="s">
        <v>740</v>
      </c>
      <c r="E279" s="57" t="s">
        <v>32</v>
      </c>
      <c r="F279" s="60" t="s">
        <v>390</v>
      </c>
      <c r="G279" s="68">
        <v>45479</v>
      </c>
      <c r="H279" s="57">
        <v>7500</v>
      </c>
      <c r="I279" s="61">
        <v>7500</v>
      </c>
      <c r="J279" s="69" t="s">
        <v>322</v>
      </c>
    </row>
    <row r="280" spans="1:10">
      <c r="A280" s="58">
        <v>279</v>
      </c>
      <c r="B280" s="57">
        <v>18279</v>
      </c>
      <c r="C280" s="57" t="s">
        <v>36</v>
      </c>
      <c r="D280" s="57" t="s">
        <v>741</v>
      </c>
      <c r="E280" s="57" t="s">
        <v>32</v>
      </c>
      <c r="F280" s="60" t="s">
        <v>390</v>
      </c>
      <c r="G280" s="68">
        <v>45481</v>
      </c>
      <c r="H280" s="57">
        <v>7500</v>
      </c>
      <c r="I280" s="61">
        <v>6900</v>
      </c>
      <c r="J280" s="69" t="s">
        <v>337</v>
      </c>
    </row>
    <row r="281" spans="1:10">
      <c r="A281" s="58">
        <v>280</v>
      </c>
      <c r="B281" s="57">
        <v>18280</v>
      </c>
      <c r="C281" s="57" t="s">
        <v>742</v>
      </c>
      <c r="D281" s="57" t="s">
        <v>743</v>
      </c>
      <c r="E281" s="57" t="s">
        <v>54</v>
      </c>
      <c r="F281" s="60" t="s">
        <v>390</v>
      </c>
      <c r="G281" s="68">
        <v>45481</v>
      </c>
      <c r="H281" s="57">
        <v>7500</v>
      </c>
      <c r="I281" s="61">
        <v>7500</v>
      </c>
      <c r="J281" s="69" t="s">
        <v>300</v>
      </c>
    </row>
    <row r="282" spans="1:10">
      <c r="A282" s="58">
        <v>281</v>
      </c>
      <c r="B282" s="57">
        <v>18281</v>
      </c>
      <c r="C282" s="57" t="s">
        <v>744</v>
      </c>
      <c r="D282" s="57" t="s">
        <v>745</v>
      </c>
      <c r="E282" s="57" t="s">
        <v>54</v>
      </c>
      <c r="F282" s="60" t="s">
        <v>390</v>
      </c>
      <c r="G282" s="68">
        <v>45481</v>
      </c>
      <c r="H282" s="57">
        <v>7500</v>
      </c>
      <c r="I282" s="61">
        <v>6900</v>
      </c>
      <c r="J282" s="69" t="s">
        <v>35</v>
      </c>
    </row>
    <row r="283" spans="1:10">
      <c r="A283" s="58">
        <v>282</v>
      </c>
      <c r="B283" s="57">
        <v>18282</v>
      </c>
      <c r="C283" s="57" t="s">
        <v>746</v>
      </c>
      <c r="D283" s="57" t="s">
        <v>747</v>
      </c>
      <c r="E283" s="57" t="s">
        <v>54</v>
      </c>
      <c r="F283" s="60" t="s">
        <v>390</v>
      </c>
      <c r="G283" s="68">
        <v>45482</v>
      </c>
      <c r="H283" s="57">
        <v>7500</v>
      </c>
      <c r="I283" s="61">
        <v>7500</v>
      </c>
      <c r="J283" s="69" t="s">
        <v>88</v>
      </c>
    </row>
    <row r="284" spans="1:10">
      <c r="A284" s="58">
        <v>283</v>
      </c>
      <c r="B284" s="57">
        <v>18283</v>
      </c>
      <c r="C284" s="57" t="s">
        <v>748</v>
      </c>
      <c r="D284" s="57" t="s">
        <v>749</v>
      </c>
      <c r="E284" s="57" t="s">
        <v>32</v>
      </c>
      <c r="F284" s="60" t="s">
        <v>390</v>
      </c>
      <c r="G284" s="68">
        <v>45482</v>
      </c>
      <c r="H284" s="57">
        <v>7500</v>
      </c>
      <c r="I284" s="61">
        <v>6900</v>
      </c>
      <c r="J284" s="69" t="s">
        <v>306</v>
      </c>
    </row>
    <row r="285" spans="1:10">
      <c r="A285" s="58">
        <v>284</v>
      </c>
      <c r="B285" s="57">
        <v>18284</v>
      </c>
      <c r="C285" s="57" t="s">
        <v>750</v>
      </c>
      <c r="D285" s="57" t="s">
        <v>523</v>
      </c>
      <c r="E285" s="57" t="s">
        <v>32</v>
      </c>
      <c r="F285" s="60" t="s">
        <v>390</v>
      </c>
      <c r="G285" s="68">
        <v>45482</v>
      </c>
      <c r="H285" s="57">
        <v>7500</v>
      </c>
      <c r="I285" s="61">
        <v>7500</v>
      </c>
      <c r="J285" s="69" t="s">
        <v>325</v>
      </c>
    </row>
    <row r="286" spans="1:10">
      <c r="A286" s="58">
        <v>285</v>
      </c>
      <c r="B286" s="57">
        <v>18285</v>
      </c>
      <c r="C286" s="57" t="s">
        <v>751</v>
      </c>
      <c r="D286" s="57" t="s">
        <v>752</v>
      </c>
      <c r="E286" s="57" t="s">
        <v>32</v>
      </c>
      <c r="F286" s="60" t="s">
        <v>390</v>
      </c>
      <c r="G286" s="68">
        <v>45483</v>
      </c>
      <c r="H286" s="57">
        <v>7500</v>
      </c>
      <c r="I286" s="61">
        <v>7500</v>
      </c>
      <c r="J286" s="69" t="s">
        <v>295</v>
      </c>
    </row>
    <row r="287" spans="1:10">
      <c r="A287" s="58">
        <v>286</v>
      </c>
      <c r="B287" s="57">
        <v>18286</v>
      </c>
      <c r="C287" s="57" t="s">
        <v>753</v>
      </c>
      <c r="D287" s="58" t="s">
        <v>754</v>
      </c>
      <c r="E287" s="57" t="s">
        <v>32</v>
      </c>
      <c r="F287" s="60" t="s">
        <v>390</v>
      </c>
      <c r="G287" s="68">
        <v>45483</v>
      </c>
      <c r="H287" s="57">
        <v>7500</v>
      </c>
      <c r="I287" s="61">
        <v>6900</v>
      </c>
      <c r="J287" s="69" t="s">
        <v>297</v>
      </c>
    </row>
    <row r="288" spans="1:10">
      <c r="A288" s="58">
        <v>287</v>
      </c>
      <c r="B288" s="57">
        <v>18287</v>
      </c>
      <c r="C288" s="57" t="s">
        <v>755</v>
      </c>
      <c r="D288" s="58" t="s">
        <v>756</v>
      </c>
      <c r="E288" s="57" t="s">
        <v>32</v>
      </c>
      <c r="F288" s="60" t="s">
        <v>390</v>
      </c>
      <c r="G288" s="68">
        <v>45483</v>
      </c>
      <c r="H288" s="57">
        <v>7500</v>
      </c>
      <c r="I288" s="61">
        <v>7500</v>
      </c>
      <c r="J288" s="69" t="s">
        <v>310</v>
      </c>
    </row>
    <row r="289" spans="1:10">
      <c r="A289" s="58">
        <v>288</v>
      </c>
      <c r="B289" s="57">
        <v>18288</v>
      </c>
      <c r="C289" s="57" t="s">
        <v>757</v>
      </c>
      <c r="D289" s="57" t="s">
        <v>758</v>
      </c>
      <c r="E289" s="57" t="s">
        <v>54</v>
      </c>
      <c r="F289" s="60" t="s">
        <v>390</v>
      </c>
      <c r="G289" s="68">
        <v>45484</v>
      </c>
      <c r="H289" s="57">
        <v>7500</v>
      </c>
      <c r="I289" s="61">
        <v>7500</v>
      </c>
      <c r="J289" s="69" t="s">
        <v>322</v>
      </c>
    </row>
    <row r="290" spans="1:10">
      <c r="A290" s="58">
        <v>289</v>
      </c>
      <c r="B290" s="57">
        <v>18289</v>
      </c>
      <c r="C290" s="57" t="s">
        <v>759</v>
      </c>
      <c r="D290" s="57" t="s">
        <v>760</v>
      </c>
      <c r="E290" s="57" t="s">
        <v>54</v>
      </c>
      <c r="F290" s="60" t="s">
        <v>390</v>
      </c>
      <c r="G290" s="68">
        <v>45484</v>
      </c>
      <c r="H290" s="57">
        <v>7500</v>
      </c>
      <c r="I290" s="61">
        <v>7100</v>
      </c>
      <c r="J290" s="69" t="s">
        <v>337</v>
      </c>
    </row>
    <row r="291" spans="1:10">
      <c r="A291" s="58">
        <v>290</v>
      </c>
      <c r="B291" s="57">
        <v>18290</v>
      </c>
      <c r="C291" s="57" t="s">
        <v>761</v>
      </c>
      <c r="D291" s="57" t="s">
        <v>762</v>
      </c>
      <c r="E291" s="57" t="s">
        <v>54</v>
      </c>
      <c r="F291" s="60" t="s">
        <v>390</v>
      </c>
      <c r="G291" s="68">
        <v>45484</v>
      </c>
      <c r="H291" s="57">
        <v>7500</v>
      </c>
      <c r="I291" s="61">
        <v>7100</v>
      </c>
      <c r="J291" s="69" t="s">
        <v>300</v>
      </c>
    </row>
    <row r="292" spans="1:10">
      <c r="A292" s="58">
        <v>291</v>
      </c>
      <c r="B292" s="57">
        <v>18291</v>
      </c>
      <c r="C292" s="57" t="s">
        <v>763</v>
      </c>
      <c r="D292" s="57" t="s">
        <v>764</v>
      </c>
      <c r="E292" s="57" t="s">
        <v>32</v>
      </c>
      <c r="F292" s="60" t="s">
        <v>390</v>
      </c>
      <c r="G292" s="68">
        <v>45485</v>
      </c>
      <c r="H292" s="57">
        <v>7500</v>
      </c>
      <c r="I292" s="61">
        <v>6900</v>
      </c>
      <c r="J292" s="69" t="s">
        <v>35</v>
      </c>
    </row>
    <row r="293" spans="1:10">
      <c r="A293" s="58">
        <v>292</v>
      </c>
      <c r="B293" s="57">
        <v>18292</v>
      </c>
      <c r="C293" s="57" t="s">
        <v>765</v>
      </c>
      <c r="D293" s="57" t="s">
        <v>766</v>
      </c>
      <c r="E293" s="57" t="s">
        <v>32</v>
      </c>
      <c r="F293" s="60" t="s">
        <v>390</v>
      </c>
      <c r="G293" s="68">
        <v>45485</v>
      </c>
      <c r="H293" s="57">
        <v>7500</v>
      </c>
      <c r="I293" s="61">
        <v>7500</v>
      </c>
      <c r="J293" s="69" t="s">
        <v>88</v>
      </c>
    </row>
    <row r="294" spans="1:10">
      <c r="A294" s="58">
        <v>293</v>
      </c>
      <c r="B294" s="57">
        <v>18293</v>
      </c>
      <c r="C294" s="57" t="s">
        <v>767</v>
      </c>
      <c r="D294" s="58" t="s">
        <v>349</v>
      </c>
      <c r="E294" s="57" t="s">
        <v>32</v>
      </c>
      <c r="F294" s="60" t="s">
        <v>390</v>
      </c>
      <c r="G294" s="68">
        <v>45485</v>
      </c>
      <c r="H294" s="57">
        <v>7500</v>
      </c>
      <c r="I294" s="61">
        <v>6900</v>
      </c>
      <c r="J294" s="69" t="s">
        <v>306</v>
      </c>
    </row>
    <row r="295" spans="1:10">
      <c r="A295" s="58">
        <v>294</v>
      </c>
      <c r="B295" s="57">
        <v>18294</v>
      </c>
      <c r="C295" s="57" t="s">
        <v>768</v>
      </c>
      <c r="D295" s="57" t="s">
        <v>769</v>
      </c>
      <c r="E295" s="57" t="s">
        <v>54</v>
      </c>
      <c r="F295" s="60" t="s">
        <v>390</v>
      </c>
      <c r="G295" s="68">
        <v>45486</v>
      </c>
      <c r="H295" s="57">
        <v>7500</v>
      </c>
      <c r="I295" s="61">
        <v>6900</v>
      </c>
      <c r="J295" s="69" t="s">
        <v>325</v>
      </c>
    </row>
    <row r="296" spans="1:10">
      <c r="A296" s="58">
        <v>295</v>
      </c>
      <c r="B296" s="57">
        <v>18295</v>
      </c>
      <c r="C296" s="57" t="s">
        <v>770</v>
      </c>
      <c r="D296" s="57" t="s">
        <v>771</v>
      </c>
      <c r="E296" s="57" t="s">
        <v>32</v>
      </c>
      <c r="F296" s="60" t="s">
        <v>390</v>
      </c>
      <c r="G296" s="68">
        <v>45486</v>
      </c>
      <c r="H296" s="57">
        <v>7500</v>
      </c>
      <c r="I296" s="61">
        <v>7500</v>
      </c>
      <c r="J296" s="69" t="s">
        <v>295</v>
      </c>
    </row>
    <row r="297" spans="1:10">
      <c r="A297" s="58">
        <v>296</v>
      </c>
      <c r="B297" s="57">
        <v>18296</v>
      </c>
      <c r="C297" s="57" t="s">
        <v>772</v>
      </c>
      <c r="D297" s="57" t="s">
        <v>773</v>
      </c>
      <c r="E297" s="57" t="s">
        <v>32</v>
      </c>
      <c r="F297" s="60" t="s">
        <v>390</v>
      </c>
      <c r="G297" s="68">
        <v>45486</v>
      </c>
      <c r="H297" s="57">
        <v>7500</v>
      </c>
      <c r="I297" s="61">
        <v>7500</v>
      </c>
      <c r="J297" s="69" t="s">
        <v>297</v>
      </c>
    </row>
    <row r="298" spans="1:10">
      <c r="A298" s="58">
        <v>297</v>
      </c>
      <c r="B298" s="57">
        <v>18297</v>
      </c>
      <c r="C298" s="57" t="s">
        <v>774</v>
      </c>
      <c r="D298" s="57" t="s">
        <v>775</v>
      </c>
      <c r="E298" s="57" t="s">
        <v>54</v>
      </c>
      <c r="F298" s="60" t="s">
        <v>390</v>
      </c>
      <c r="G298" s="68">
        <v>45488</v>
      </c>
      <c r="H298" s="57">
        <v>7500</v>
      </c>
      <c r="I298" s="61">
        <v>7500</v>
      </c>
      <c r="J298" s="69" t="s">
        <v>310</v>
      </c>
    </row>
    <row r="299" spans="1:10">
      <c r="A299" s="58">
        <v>298</v>
      </c>
      <c r="B299" s="57">
        <v>18298</v>
      </c>
      <c r="C299" s="57" t="s">
        <v>776</v>
      </c>
      <c r="D299" s="57" t="s">
        <v>777</v>
      </c>
      <c r="E299" s="57" t="s">
        <v>54</v>
      </c>
      <c r="F299" s="60" t="s">
        <v>390</v>
      </c>
      <c r="G299" s="68">
        <v>45488</v>
      </c>
      <c r="H299" s="57">
        <v>7500</v>
      </c>
      <c r="I299" s="61">
        <v>6900</v>
      </c>
      <c r="J299" s="69" t="s">
        <v>322</v>
      </c>
    </row>
    <row r="300" spans="1:10">
      <c r="A300" s="58">
        <v>299</v>
      </c>
      <c r="B300" s="57">
        <v>18299</v>
      </c>
      <c r="C300" s="57" t="s">
        <v>778</v>
      </c>
      <c r="D300" s="57" t="s">
        <v>779</v>
      </c>
      <c r="E300" s="57" t="s">
        <v>32</v>
      </c>
      <c r="F300" s="60" t="s">
        <v>390</v>
      </c>
      <c r="G300" s="68">
        <v>45488</v>
      </c>
      <c r="H300" s="57">
        <v>7500</v>
      </c>
      <c r="I300" s="61">
        <v>7500</v>
      </c>
      <c r="J300" s="69" t="s">
        <v>337</v>
      </c>
    </row>
    <row r="301" spans="1:10">
      <c r="A301" s="58">
        <v>300</v>
      </c>
      <c r="B301" s="57">
        <v>18300</v>
      </c>
      <c r="C301" s="57" t="s">
        <v>780</v>
      </c>
      <c r="D301" s="57" t="s">
        <v>781</v>
      </c>
      <c r="E301" s="57" t="s">
        <v>32</v>
      </c>
      <c r="F301" s="60" t="s">
        <v>390</v>
      </c>
      <c r="G301" s="68">
        <v>45489</v>
      </c>
      <c r="H301" s="57">
        <v>7500</v>
      </c>
      <c r="I301" s="61">
        <v>7500</v>
      </c>
      <c r="J301" s="69" t="s">
        <v>300</v>
      </c>
    </row>
    <row r="302" spans="1:10">
      <c r="A302" s="58">
        <v>301</v>
      </c>
      <c r="B302" s="57">
        <v>18301</v>
      </c>
      <c r="C302" s="57" t="s">
        <v>782</v>
      </c>
      <c r="D302" s="57" t="s">
        <v>398</v>
      </c>
      <c r="E302" s="57" t="s">
        <v>32</v>
      </c>
      <c r="F302" s="60" t="s">
        <v>390</v>
      </c>
      <c r="G302" s="68">
        <v>45489</v>
      </c>
      <c r="H302" s="57">
        <v>7500</v>
      </c>
      <c r="I302" s="61">
        <v>7100</v>
      </c>
      <c r="J302" s="69" t="s">
        <v>322</v>
      </c>
    </row>
    <row r="303" spans="1:10">
      <c r="A303" s="58">
        <v>302</v>
      </c>
      <c r="B303" s="57">
        <v>18302</v>
      </c>
      <c r="C303" s="57" t="s">
        <v>783</v>
      </c>
      <c r="D303" s="57" t="s">
        <v>784</v>
      </c>
      <c r="E303" s="57" t="s">
        <v>32</v>
      </c>
      <c r="F303" s="60" t="s">
        <v>390</v>
      </c>
      <c r="G303" s="68">
        <v>45489</v>
      </c>
      <c r="H303" s="57">
        <v>7500</v>
      </c>
      <c r="I303" s="61">
        <v>7100</v>
      </c>
      <c r="J303" s="69" t="s">
        <v>322</v>
      </c>
    </row>
    <row r="304" spans="1:10">
      <c r="A304" s="58">
        <v>303</v>
      </c>
      <c r="B304" s="57">
        <v>18303</v>
      </c>
      <c r="C304" s="57" t="s">
        <v>785</v>
      </c>
      <c r="D304" s="58" t="s">
        <v>786</v>
      </c>
      <c r="E304" s="57" t="s">
        <v>32</v>
      </c>
      <c r="F304" s="60" t="s">
        <v>390</v>
      </c>
      <c r="G304" s="68">
        <v>45490</v>
      </c>
      <c r="H304" s="57">
        <v>7500</v>
      </c>
      <c r="I304" s="61">
        <v>6900</v>
      </c>
      <c r="J304" s="69" t="s">
        <v>297</v>
      </c>
    </row>
    <row r="305" spans="1:10">
      <c r="A305" s="58">
        <v>304</v>
      </c>
      <c r="B305" s="57">
        <v>18304</v>
      </c>
      <c r="C305" s="57" t="s">
        <v>787</v>
      </c>
      <c r="D305" s="58" t="s">
        <v>788</v>
      </c>
      <c r="E305" s="57" t="s">
        <v>54</v>
      </c>
      <c r="F305" s="60" t="s">
        <v>390</v>
      </c>
      <c r="G305" s="68">
        <v>45490</v>
      </c>
      <c r="H305" s="57">
        <v>7500</v>
      </c>
      <c r="I305" s="61">
        <v>6900</v>
      </c>
      <c r="J305" s="69" t="s">
        <v>310</v>
      </c>
    </row>
    <row r="306" spans="1:10">
      <c r="A306" s="58">
        <v>305</v>
      </c>
      <c r="B306" s="57">
        <v>18305</v>
      </c>
      <c r="C306" s="57" t="s">
        <v>789</v>
      </c>
      <c r="D306" s="57" t="s">
        <v>71</v>
      </c>
      <c r="E306" s="57" t="s">
        <v>54</v>
      </c>
      <c r="F306" s="60" t="s">
        <v>390</v>
      </c>
      <c r="G306" s="68">
        <v>45490</v>
      </c>
      <c r="H306" s="57">
        <v>7500</v>
      </c>
      <c r="I306" s="61">
        <v>7500</v>
      </c>
      <c r="J306" s="69" t="s">
        <v>297</v>
      </c>
    </row>
    <row r="307" spans="1:10">
      <c r="A307" s="58">
        <v>306</v>
      </c>
      <c r="B307" s="57">
        <v>18306</v>
      </c>
      <c r="C307" s="57" t="s">
        <v>790</v>
      </c>
      <c r="D307" s="57" t="s">
        <v>365</v>
      </c>
      <c r="E307" s="57" t="s">
        <v>32</v>
      </c>
      <c r="F307" s="60" t="s">
        <v>390</v>
      </c>
      <c r="G307" s="68">
        <v>45491</v>
      </c>
      <c r="H307" s="57">
        <v>7500</v>
      </c>
      <c r="I307" s="61">
        <v>7500</v>
      </c>
      <c r="J307" s="69" t="s">
        <v>310</v>
      </c>
    </row>
    <row r="308" spans="1:10">
      <c r="A308" s="58">
        <v>307</v>
      </c>
      <c r="B308" s="57">
        <v>18307</v>
      </c>
      <c r="C308" s="57" t="s">
        <v>791</v>
      </c>
      <c r="D308" s="57" t="s">
        <v>792</v>
      </c>
      <c r="E308" s="57" t="s">
        <v>54</v>
      </c>
      <c r="F308" s="60" t="s">
        <v>390</v>
      </c>
      <c r="G308" s="68">
        <v>45491</v>
      </c>
      <c r="H308" s="57">
        <v>7500</v>
      </c>
      <c r="I308" s="61">
        <v>7500</v>
      </c>
      <c r="J308" s="69" t="s">
        <v>322</v>
      </c>
    </row>
    <row r="309" spans="1:10">
      <c r="A309" s="58">
        <v>308</v>
      </c>
      <c r="B309" s="57">
        <v>18308</v>
      </c>
      <c r="C309" s="57" t="s">
        <v>793</v>
      </c>
      <c r="D309" s="57" t="s">
        <v>370</v>
      </c>
      <c r="E309" s="57" t="s">
        <v>32</v>
      </c>
      <c r="F309" s="60" t="s">
        <v>390</v>
      </c>
      <c r="G309" s="68">
        <v>45491</v>
      </c>
      <c r="H309" s="57">
        <v>7500</v>
      </c>
      <c r="I309" s="61">
        <v>6900</v>
      </c>
      <c r="J309" s="69" t="s">
        <v>337</v>
      </c>
    </row>
    <row r="310" spans="1:10">
      <c r="A310" s="58">
        <v>309</v>
      </c>
      <c r="B310" s="57">
        <v>18309</v>
      </c>
      <c r="C310" s="57" t="s">
        <v>751</v>
      </c>
      <c r="D310" s="57" t="s">
        <v>675</v>
      </c>
      <c r="E310" s="57" t="s">
        <v>32</v>
      </c>
      <c r="F310" s="60" t="s">
        <v>390</v>
      </c>
      <c r="G310" s="68">
        <v>45492</v>
      </c>
      <c r="H310" s="57">
        <v>7500</v>
      </c>
      <c r="I310" s="61">
        <v>6900</v>
      </c>
      <c r="J310" s="69" t="s">
        <v>300</v>
      </c>
    </row>
    <row r="311" spans="1:10">
      <c r="A311" s="58">
        <v>310</v>
      </c>
      <c r="B311" s="57">
        <v>18310</v>
      </c>
      <c r="C311" s="57" t="s">
        <v>794</v>
      </c>
      <c r="D311" s="57" t="s">
        <v>795</v>
      </c>
      <c r="E311" s="57" t="s">
        <v>32</v>
      </c>
      <c r="F311" s="60" t="s">
        <v>390</v>
      </c>
      <c r="G311" s="68">
        <v>45492</v>
      </c>
      <c r="H311" s="57">
        <v>7500</v>
      </c>
      <c r="I311" s="61">
        <v>7500</v>
      </c>
      <c r="J311" s="69" t="s">
        <v>35</v>
      </c>
    </row>
    <row r="312" spans="1:10">
      <c r="A312" s="58">
        <v>311</v>
      </c>
      <c r="B312" s="57">
        <v>18311</v>
      </c>
      <c r="C312" s="57" t="s">
        <v>796</v>
      </c>
      <c r="D312" s="57" t="s">
        <v>797</v>
      </c>
      <c r="E312" s="57" t="s">
        <v>32</v>
      </c>
      <c r="F312" s="60" t="s">
        <v>390</v>
      </c>
      <c r="G312" s="68">
        <v>45492</v>
      </c>
      <c r="H312" s="57">
        <v>7500</v>
      </c>
      <c r="I312" s="61">
        <v>7500</v>
      </c>
      <c r="J312" s="69" t="s">
        <v>88</v>
      </c>
    </row>
    <row r="313" spans="1:10">
      <c r="A313" s="58">
        <v>312</v>
      </c>
      <c r="B313" s="57">
        <v>18312</v>
      </c>
      <c r="C313" s="57" t="s">
        <v>798</v>
      </c>
      <c r="D313" s="57" t="s">
        <v>799</v>
      </c>
      <c r="E313" s="57" t="s">
        <v>54</v>
      </c>
      <c r="F313" s="60" t="s">
        <v>390</v>
      </c>
      <c r="G313" s="68">
        <v>45493</v>
      </c>
      <c r="H313" s="57">
        <v>7500</v>
      </c>
      <c r="I313" s="61">
        <v>7500</v>
      </c>
      <c r="J313" s="69" t="s">
        <v>306</v>
      </c>
    </row>
    <row r="314" spans="1:10">
      <c r="A314" s="58">
        <v>313</v>
      </c>
      <c r="B314" s="57">
        <v>18313</v>
      </c>
      <c r="C314" s="57" t="s">
        <v>800</v>
      </c>
      <c r="D314" s="57" t="s">
        <v>801</v>
      </c>
      <c r="E314" s="57" t="s">
        <v>54</v>
      </c>
      <c r="F314" s="60" t="s">
        <v>390</v>
      </c>
      <c r="G314" s="68">
        <v>45493</v>
      </c>
      <c r="H314" s="57">
        <v>7500</v>
      </c>
      <c r="I314" s="61">
        <v>7100</v>
      </c>
      <c r="J314" s="69" t="s">
        <v>325</v>
      </c>
    </row>
    <row r="315" spans="1:10">
      <c r="A315" s="58">
        <v>314</v>
      </c>
      <c r="B315" s="57">
        <v>18314</v>
      </c>
      <c r="C315" s="57" t="s">
        <v>802</v>
      </c>
      <c r="D315" s="57" t="s">
        <v>803</v>
      </c>
      <c r="E315" s="57" t="s">
        <v>54</v>
      </c>
      <c r="F315" s="60" t="s">
        <v>390</v>
      </c>
      <c r="G315" s="68">
        <v>45493</v>
      </c>
      <c r="H315" s="57">
        <v>7500</v>
      </c>
      <c r="I315" s="61">
        <v>7100</v>
      </c>
      <c r="J315" s="69" t="s">
        <v>295</v>
      </c>
    </row>
    <row r="316" spans="1:10">
      <c r="A316" s="58">
        <v>315</v>
      </c>
      <c r="B316" s="57">
        <v>18315</v>
      </c>
      <c r="C316" s="57" t="s">
        <v>804</v>
      </c>
      <c r="D316" s="57" t="s">
        <v>805</v>
      </c>
      <c r="E316" s="57" t="s">
        <v>32</v>
      </c>
      <c r="F316" s="60" t="s">
        <v>390</v>
      </c>
      <c r="G316" s="68">
        <v>45495</v>
      </c>
      <c r="H316" s="57">
        <v>7500</v>
      </c>
      <c r="I316" s="61">
        <v>6900</v>
      </c>
      <c r="J316" s="69" t="s">
        <v>297</v>
      </c>
    </row>
    <row r="317" spans="1:10">
      <c r="A317" s="58">
        <v>316</v>
      </c>
      <c r="B317" s="57">
        <v>18316</v>
      </c>
      <c r="C317" s="57" t="s">
        <v>806</v>
      </c>
      <c r="D317" s="57" t="s">
        <v>807</v>
      </c>
      <c r="E317" s="57" t="s">
        <v>32</v>
      </c>
      <c r="F317" s="60" t="s">
        <v>390</v>
      </c>
      <c r="G317" s="68">
        <v>45495</v>
      </c>
      <c r="H317" s="57">
        <v>7500</v>
      </c>
      <c r="I317" s="61">
        <v>7500</v>
      </c>
      <c r="J317" s="69" t="s">
        <v>310</v>
      </c>
    </row>
    <row r="318" spans="1:10">
      <c r="A318" s="58">
        <v>317</v>
      </c>
      <c r="B318" s="57">
        <v>18317</v>
      </c>
      <c r="C318" s="57" t="s">
        <v>808</v>
      </c>
      <c r="D318" s="57" t="s">
        <v>351</v>
      </c>
      <c r="E318" s="57" t="s">
        <v>32</v>
      </c>
      <c r="F318" s="60" t="s">
        <v>390</v>
      </c>
      <c r="G318" s="68">
        <v>45495</v>
      </c>
      <c r="H318" s="57">
        <v>7500</v>
      </c>
      <c r="I318" s="61">
        <v>6900</v>
      </c>
      <c r="J318" s="69" t="s">
        <v>322</v>
      </c>
    </row>
    <row r="319" spans="1:10">
      <c r="A319" s="58">
        <v>318</v>
      </c>
      <c r="B319" s="57">
        <v>18318</v>
      </c>
      <c r="C319" s="57" t="s">
        <v>809</v>
      </c>
      <c r="D319" s="57" t="s">
        <v>810</v>
      </c>
      <c r="E319" s="57" t="s">
        <v>32</v>
      </c>
      <c r="F319" s="60" t="s">
        <v>390</v>
      </c>
      <c r="G319" s="68">
        <v>45496</v>
      </c>
      <c r="H319" s="57">
        <v>7500</v>
      </c>
      <c r="I319" s="61">
        <v>7500</v>
      </c>
      <c r="J319" s="69" t="s">
        <v>337</v>
      </c>
    </row>
    <row r="320" spans="1:10">
      <c r="A320" s="58">
        <v>319</v>
      </c>
      <c r="B320" s="57">
        <v>18319</v>
      </c>
      <c r="C320" s="57" t="s">
        <v>811</v>
      </c>
      <c r="D320" s="57" t="s">
        <v>812</v>
      </c>
      <c r="E320" s="57" t="s">
        <v>54</v>
      </c>
      <c r="F320" s="60" t="s">
        <v>390</v>
      </c>
      <c r="G320" s="68">
        <v>45496</v>
      </c>
      <c r="H320" s="57">
        <v>7500</v>
      </c>
      <c r="I320" s="61">
        <v>6900</v>
      </c>
      <c r="J320" s="69" t="s">
        <v>300</v>
      </c>
    </row>
    <row r="321" spans="1:10">
      <c r="A321" s="58">
        <v>320</v>
      </c>
      <c r="B321" s="57">
        <v>18320</v>
      </c>
      <c r="C321" s="57" t="s">
        <v>813</v>
      </c>
      <c r="D321" s="58" t="s">
        <v>503</v>
      </c>
      <c r="E321" s="57" t="s">
        <v>32</v>
      </c>
      <c r="F321" s="60" t="s">
        <v>390</v>
      </c>
      <c r="G321" s="68">
        <v>45496</v>
      </c>
      <c r="H321" s="57">
        <v>7500</v>
      </c>
      <c r="I321" s="61">
        <v>7500</v>
      </c>
      <c r="J321" s="69" t="s">
        <v>35</v>
      </c>
    </row>
    <row r="322" spans="1:10">
      <c r="A322" s="58">
        <v>321</v>
      </c>
      <c r="B322" s="57">
        <v>18321</v>
      </c>
      <c r="C322" s="57" t="s">
        <v>660</v>
      </c>
      <c r="D322" s="57" t="s">
        <v>703</v>
      </c>
      <c r="E322" s="57" t="s">
        <v>54</v>
      </c>
      <c r="F322" s="60" t="s">
        <v>390</v>
      </c>
      <c r="G322" s="68">
        <v>45497</v>
      </c>
      <c r="H322" s="57">
        <v>7500</v>
      </c>
      <c r="I322" s="61">
        <v>6900</v>
      </c>
      <c r="J322" s="69" t="s">
        <v>88</v>
      </c>
    </row>
    <row r="323" spans="1:10">
      <c r="A323" s="58">
        <v>322</v>
      </c>
      <c r="B323" s="57">
        <v>18322</v>
      </c>
      <c r="C323" s="57" t="s">
        <v>814</v>
      </c>
      <c r="D323" s="57" t="s">
        <v>815</v>
      </c>
      <c r="E323" s="57" t="s">
        <v>54</v>
      </c>
      <c r="F323" s="60" t="s">
        <v>390</v>
      </c>
      <c r="G323" s="68">
        <v>45497</v>
      </c>
      <c r="H323" s="57">
        <v>7500</v>
      </c>
      <c r="I323" s="61">
        <v>7500</v>
      </c>
      <c r="J323" s="69" t="s">
        <v>306</v>
      </c>
    </row>
    <row r="324" spans="1:10">
      <c r="A324" s="58">
        <v>323</v>
      </c>
      <c r="B324" s="57">
        <v>18323</v>
      </c>
      <c r="C324" s="57" t="s">
        <v>816</v>
      </c>
      <c r="D324" s="58" t="s">
        <v>817</v>
      </c>
      <c r="E324" s="57" t="s">
        <v>32</v>
      </c>
      <c r="F324" s="60" t="s">
        <v>390</v>
      </c>
      <c r="G324" s="68">
        <v>45497</v>
      </c>
      <c r="H324" s="57">
        <v>7500</v>
      </c>
      <c r="I324" s="61">
        <v>5600</v>
      </c>
      <c r="J324" s="69" t="s">
        <v>325</v>
      </c>
    </row>
    <row r="325" spans="1:10">
      <c r="A325" s="58">
        <v>324</v>
      </c>
      <c r="B325" s="57">
        <v>18324</v>
      </c>
      <c r="C325" s="57" t="s">
        <v>818</v>
      </c>
      <c r="D325" s="57" t="s">
        <v>503</v>
      </c>
      <c r="E325" s="57" t="s">
        <v>32</v>
      </c>
      <c r="F325" s="60" t="s">
        <v>390</v>
      </c>
      <c r="G325" s="68">
        <v>45498</v>
      </c>
      <c r="H325" s="57">
        <v>7500</v>
      </c>
      <c r="I325" s="61">
        <v>7100</v>
      </c>
      <c r="J325" s="69" t="s">
        <v>295</v>
      </c>
    </row>
    <row r="326" spans="1:10">
      <c r="A326" s="58">
        <v>325</v>
      </c>
      <c r="B326" s="57">
        <v>18325</v>
      </c>
      <c r="C326" s="57" t="s">
        <v>819</v>
      </c>
      <c r="D326" s="57" t="s">
        <v>820</v>
      </c>
      <c r="E326" s="57" t="s">
        <v>32</v>
      </c>
      <c r="F326" s="60" t="s">
        <v>390</v>
      </c>
      <c r="G326" s="68">
        <v>45498</v>
      </c>
      <c r="H326" s="57">
        <v>7500</v>
      </c>
      <c r="I326" s="61">
        <v>7500</v>
      </c>
      <c r="J326" s="69" t="s">
        <v>297</v>
      </c>
    </row>
    <row r="327" spans="1:10">
      <c r="A327" s="58">
        <v>326</v>
      </c>
      <c r="B327" s="57">
        <v>18326</v>
      </c>
      <c r="C327" s="57" t="s">
        <v>821</v>
      </c>
      <c r="D327" s="57" t="s">
        <v>822</v>
      </c>
      <c r="E327" s="57" t="s">
        <v>32</v>
      </c>
      <c r="F327" s="60" t="s">
        <v>390</v>
      </c>
      <c r="G327" s="68">
        <v>45498</v>
      </c>
      <c r="H327" s="57">
        <v>7500</v>
      </c>
      <c r="I327" s="61">
        <v>7100</v>
      </c>
      <c r="J327" s="69" t="s">
        <v>310</v>
      </c>
    </row>
    <row r="328" spans="1:10">
      <c r="A328" s="58">
        <v>327</v>
      </c>
      <c r="B328" s="57">
        <v>18327</v>
      </c>
      <c r="C328" s="57" t="s">
        <v>823</v>
      </c>
      <c r="D328" s="57" t="s">
        <v>824</v>
      </c>
      <c r="E328" s="57" t="s">
        <v>54</v>
      </c>
      <c r="F328" s="60" t="s">
        <v>390</v>
      </c>
      <c r="G328" s="68">
        <v>45499</v>
      </c>
      <c r="H328" s="57">
        <v>7500</v>
      </c>
      <c r="I328" s="61">
        <v>7500</v>
      </c>
      <c r="J328" s="69" t="s">
        <v>322</v>
      </c>
    </row>
    <row r="329" spans="1:10">
      <c r="A329" s="58">
        <v>328</v>
      </c>
      <c r="B329" s="57">
        <v>18328</v>
      </c>
      <c r="C329" s="57" t="s">
        <v>825</v>
      </c>
      <c r="D329" s="62" t="s">
        <v>826</v>
      </c>
      <c r="E329" s="57" t="s">
        <v>32</v>
      </c>
      <c r="F329" s="60" t="s">
        <v>390</v>
      </c>
      <c r="G329" s="68">
        <v>45499</v>
      </c>
      <c r="H329" s="57">
        <v>7500</v>
      </c>
      <c r="I329" s="61">
        <v>6900</v>
      </c>
      <c r="J329" s="69" t="s">
        <v>337</v>
      </c>
    </row>
    <row r="330" spans="1:10">
      <c r="A330" s="58">
        <v>329</v>
      </c>
      <c r="B330" s="57">
        <v>18329</v>
      </c>
      <c r="C330" s="57" t="s">
        <v>827</v>
      </c>
      <c r="D330" s="58" t="s">
        <v>828</v>
      </c>
      <c r="E330" s="57" t="s">
        <v>54</v>
      </c>
      <c r="F330" s="60" t="s">
        <v>390</v>
      </c>
      <c r="G330" s="68">
        <v>45499</v>
      </c>
      <c r="H330" s="57">
        <v>7500</v>
      </c>
      <c r="I330" s="61">
        <v>6900</v>
      </c>
      <c r="J330" s="69" t="s">
        <v>300</v>
      </c>
    </row>
    <row r="331" spans="1:10">
      <c r="A331" s="58">
        <v>330</v>
      </c>
      <c r="B331" s="57">
        <v>18330</v>
      </c>
      <c r="C331" s="57" t="s">
        <v>829</v>
      </c>
      <c r="D331" s="57" t="s">
        <v>830</v>
      </c>
      <c r="E331" s="57" t="s">
        <v>54</v>
      </c>
      <c r="F331" s="60" t="s">
        <v>390</v>
      </c>
      <c r="G331" s="68">
        <v>45500</v>
      </c>
      <c r="H331" s="57">
        <v>7500</v>
      </c>
      <c r="I331" s="61">
        <v>7500</v>
      </c>
      <c r="J331" s="69" t="s">
        <v>322</v>
      </c>
    </row>
    <row r="332" spans="1:10">
      <c r="A332" s="58">
        <v>331</v>
      </c>
      <c r="B332" s="57">
        <v>18331</v>
      </c>
      <c r="C332" s="57" t="s">
        <v>831</v>
      </c>
      <c r="D332" s="57" t="s">
        <v>832</v>
      </c>
      <c r="E332" s="57" t="s">
        <v>32</v>
      </c>
      <c r="F332" s="60" t="s">
        <v>390</v>
      </c>
      <c r="G332" s="68">
        <v>45500</v>
      </c>
      <c r="H332" s="57">
        <v>7500</v>
      </c>
      <c r="I332" s="61">
        <v>6900</v>
      </c>
      <c r="J332" s="69" t="s">
        <v>322</v>
      </c>
    </row>
    <row r="333" spans="1:10">
      <c r="A333" s="58">
        <v>332</v>
      </c>
      <c r="B333" s="57">
        <v>18332</v>
      </c>
      <c r="C333" s="57" t="s">
        <v>833</v>
      </c>
      <c r="D333" s="57" t="s">
        <v>351</v>
      </c>
      <c r="E333" s="57" t="s">
        <v>32</v>
      </c>
      <c r="F333" s="60" t="s">
        <v>390</v>
      </c>
      <c r="G333" s="68">
        <v>45500</v>
      </c>
      <c r="H333" s="57">
        <v>7500</v>
      </c>
      <c r="I333" s="61">
        <v>7500</v>
      </c>
      <c r="J333" s="69" t="s">
        <v>297</v>
      </c>
    </row>
    <row r="334" spans="1:10">
      <c r="A334" s="58">
        <v>333</v>
      </c>
      <c r="B334" s="57">
        <v>18333</v>
      </c>
      <c r="C334" s="57" t="s">
        <v>834</v>
      </c>
      <c r="D334" s="57" t="s">
        <v>835</v>
      </c>
      <c r="E334" s="57" t="s">
        <v>32</v>
      </c>
      <c r="F334" s="60" t="s">
        <v>390</v>
      </c>
      <c r="G334" s="68">
        <v>45500</v>
      </c>
      <c r="H334" s="57">
        <v>7500</v>
      </c>
      <c r="I334" s="61">
        <v>7500</v>
      </c>
      <c r="J334" s="69" t="s">
        <v>310</v>
      </c>
    </row>
    <row r="335" spans="1:10">
      <c r="A335" s="58">
        <v>334</v>
      </c>
      <c r="B335" s="57">
        <v>18334</v>
      </c>
      <c r="C335" s="57" t="s">
        <v>836</v>
      </c>
      <c r="D335" s="57" t="s">
        <v>837</v>
      </c>
      <c r="E335" s="57" t="s">
        <v>32</v>
      </c>
      <c r="F335" s="60" t="s">
        <v>390</v>
      </c>
      <c r="G335" s="68">
        <v>45500</v>
      </c>
      <c r="H335" s="57">
        <v>7500</v>
      </c>
      <c r="I335" s="61">
        <v>6900</v>
      </c>
      <c r="J335" s="69" t="s">
        <v>297</v>
      </c>
    </row>
    <row r="336" spans="1:10">
      <c r="A336" s="58">
        <v>335</v>
      </c>
      <c r="B336" s="57">
        <v>18335</v>
      </c>
      <c r="C336" s="57" t="s">
        <v>838</v>
      </c>
      <c r="D336" s="57" t="s">
        <v>432</v>
      </c>
      <c r="E336" s="57" t="s">
        <v>54</v>
      </c>
      <c r="F336" s="60" t="s">
        <v>390</v>
      </c>
      <c r="G336" s="68">
        <v>45500</v>
      </c>
      <c r="H336" s="57">
        <v>7500</v>
      </c>
      <c r="I336" s="61">
        <v>7500</v>
      </c>
      <c r="J336" s="69" t="s">
        <v>310</v>
      </c>
    </row>
    <row r="337" spans="1:10">
      <c r="A337" s="58">
        <v>336</v>
      </c>
      <c r="B337" s="57">
        <v>18336</v>
      </c>
      <c r="C337" s="57" t="s">
        <v>839</v>
      </c>
      <c r="D337" s="57" t="s">
        <v>623</v>
      </c>
      <c r="E337" s="57" t="s">
        <v>54</v>
      </c>
      <c r="F337" s="60" t="s">
        <v>390</v>
      </c>
      <c r="G337" s="68">
        <v>45500</v>
      </c>
      <c r="H337" s="57">
        <v>7500</v>
      </c>
      <c r="I337" s="61">
        <v>7100</v>
      </c>
      <c r="J337" s="69" t="s">
        <v>322</v>
      </c>
    </row>
    <row r="338" spans="1:10">
      <c r="A338" s="58">
        <v>337</v>
      </c>
      <c r="B338" s="57">
        <v>18337</v>
      </c>
      <c r="C338" s="57" t="s">
        <v>840</v>
      </c>
      <c r="D338" s="57" t="s">
        <v>663</v>
      </c>
      <c r="E338" s="57" t="s">
        <v>32</v>
      </c>
      <c r="F338" s="60" t="s">
        <v>390</v>
      </c>
      <c r="G338" s="68">
        <v>45500</v>
      </c>
      <c r="H338" s="57">
        <v>7500</v>
      </c>
      <c r="I338" s="61">
        <v>7500</v>
      </c>
      <c r="J338" s="69" t="s">
        <v>337</v>
      </c>
    </row>
    <row r="339" spans="1:10">
      <c r="A339" s="58">
        <v>338</v>
      </c>
      <c r="B339" s="57">
        <v>18338</v>
      </c>
      <c r="C339" s="57" t="s">
        <v>841</v>
      </c>
      <c r="D339" s="57" t="s">
        <v>611</v>
      </c>
      <c r="E339" s="57" t="s">
        <v>54</v>
      </c>
      <c r="F339" s="60" t="s">
        <v>390</v>
      </c>
      <c r="G339" s="68">
        <v>45500</v>
      </c>
      <c r="H339" s="57">
        <v>7500</v>
      </c>
      <c r="I339" s="61">
        <v>7100</v>
      </c>
      <c r="J339" s="69" t="s">
        <v>300</v>
      </c>
    </row>
    <row r="340" spans="1:10">
      <c r="A340" s="58">
        <v>339</v>
      </c>
      <c r="B340" s="57">
        <v>18339</v>
      </c>
      <c r="C340" s="57" t="s">
        <v>842</v>
      </c>
      <c r="D340" s="57" t="s">
        <v>561</v>
      </c>
      <c r="E340" s="57" t="s">
        <v>32</v>
      </c>
      <c r="F340" s="60" t="s">
        <v>390</v>
      </c>
      <c r="G340" s="68">
        <v>45502</v>
      </c>
      <c r="H340" s="57">
        <v>7500</v>
      </c>
      <c r="I340" s="61">
        <v>7500</v>
      </c>
      <c r="J340" s="69" t="s">
        <v>35</v>
      </c>
    </row>
    <row r="341" spans="1:10">
      <c r="A341" s="58">
        <v>340</v>
      </c>
      <c r="B341" s="57">
        <v>18340</v>
      </c>
      <c r="C341" s="57" t="s">
        <v>766</v>
      </c>
      <c r="D341" s="57" t="s">
        <v>381</v>
      </c>
      <c r="E341" s="57" t="s">
        <v>32</v>
      </c>
      <c r="F341" s="60" t="s">
        <v>390</v>
      </c>
      <c r="G341" s="68">
        <v>45502</v>
      </c>
      <c r="H341" s="57">
        <v>7500</v>
      </c>
      <c r="I341" s="61">
        <v>7500</v>
      </c>
      <c r="J341" s="69" t="s">
        <v>88</v>
      </c>
    </row>
    <row r="342" spans="1:10">
      <c r="A342" s="58">
        <v>341</v>
      </c>
      <c r="B342" s="57">
        <v>18341</v>
      </c>
      <c r="C342" s="57" t="s">
        <v>843</v>
      </c>
      <c r="D342" s="57" t="s">
        <v>844</v>
      </c>
      <c r="E342" s="57" t="s">
        <v>54</v>
      </c>
      <c r="F342" s="60" t="s">
        <v>390</v>
      </c>
      <c r="G342" s="68">
        <v>45502</v>
      </c>
      <c r="H342" s="57">
        <v>7500</v>
      </c>
      <c r="I342" s="61">
        <v>7500</v>
      </c>
      <c r="J342" s="69" t="s">
        <v>306</v>
      </c>
    </row>
    <row r="343" spans="1:10">
      <c r="A343" s="58">
        <v>342</v>
      </c>
      <c r="B343" s="57">
        <v>18342</v>
      </c>
      <c r="C343" s="57" t="s">
        <v>845</v>
      </c>
      <c r="D343" s="57" t="s">
        <v>846</v>
      </c>
      <c r="E343" s="57" t="s">
        <v>32</v>
      </c>
      <c r="F343" s="60" t="s">
        <v>390</v>
      </c>
      <c r="G343" s="68">
        <v>45502</v>
      </c>
      <c r="H343" s="57">
        <v>7500</v>
      </c>
      <c r="I343" s="61">
        <v>6900</v>
      </c>
      <c r="J343" s="69" t="s">
        <v>325</v>
      </c>
    </row>
    <row r="344" spans="1:10">
      <c r="A344" s="58">
        <v>343</v>
      </c>
      <c r="B344" s="57">
        <v>18343</v>
      </c>
      <c r="C344" s="57" t="s">
        <v>847</v>
      </c>
      <c r="D344" s="57" t="s">
        <v>848</v>
      </c>
      <c r="E344" s="57" t="s">
        <v>32</v>
      </c>
      <c r="F344" s="60" t="s">
        <v>390</v>
      </c>
      <c r="G344" s="68">
        <v>45502</v>
      </c>
      <c r="H344" s="57">
        <v>7500</v>
      </c>
      <c r="I344" s="61">
        <v>7500</v>
      </c>
      <c r="J344" s="69" t="s">
        <v>295</v>
      </c>
    </row>
    <row r="345" spans="1:10">
      <c r="A345" s="58">
        <v>344</v>
      </c>
      <c r="B345" s="57">
        <v>18344</v>
      </c>
      <c r="C345" s="57" t="s">
        <v>849</v>
      </c>
      <c r="D345" s="58" t="s">
        <v>850</v>
      </c>
      <c r="E345" s="57" t="s">
        <v>54</v>
      </c>
      <c r="F345" s="60" t="s">
        <v>390</v>
      </c>
      <c r="G345" s="68">
        <v>45502</v>
      </c>
      <c r="H345" s="57">
        <v>7500</v>
      </c>
      <c r="I345" s="61">
        <v>7200</v>
      </c>
      <c r="J345" s="69" t="s">
        <v>297</v>
      </c>
    </row>
    <row r="346" spans="1:10">
      <c r="A346" s="58">
        <v>345</v>
      </c>
      <c r="B346" s="57">
        <v>18345</v>
      </c>
      <c r="C346" s="57" t="s">
        <v>354</v>
      </c>
      <c r="D346" s="57" t="s">
        <v>851</v>
      </c>
      <c r="E346" s="57" t="s">
        <v>32</v>
      </c>
      <c r="F346" s="60" t="s">
        <v>390</v>
      </c>
      <c r="G346" s="68">
        <v>45502</v>
      </c>
      <c r="H346" s="57">
        <v>7500</v>
      </c>
      <c r="I346" s="61">
        <v>6900</v>
      </c>
      <c r="J346" s="69" t="s">
        <v>310</v>
      </c>
    </row>
    <row r="347" spans="1:10">
      <c r="A347" s="58">
        <v>346</v>
      </c>
      <c r="B347" s="57">
        <v>18346</v>
      </c>
      <c r="C347" s="57" t="s">
        <v>852</v>
      </c>
      <c r="D347" s="57" t="s">
        <v>609</v>
      </c>
      <c r="E347" s="57" t="s">
        <v>54</v>
      </c>
      <c r="F347" s="60" t="s">
        <v>390</v>
      </c>
      <c r="G347" s="68">
        <v>45502</v>
      </c>
      <c r="H347" s="57">
        <v>7500</v>
      </c>
      <c r="I347" s="61">
        <v>6900</v>
      </c>
      <c r="J347" s="69" t="s">
        <v>322</v>
      </c>
    </row>
    <row r="348" spans="1:10">
      <c r="A348" s="58">
        <v>347</v>
      </c>
      <c r="B348" s="57">
        <v>18347</v>
      </c>
      <c r="C348" s="57" t="s">
        <v>853</v>
      </c>
      <c r="D348" s="57" t="s">
        <v>535</v>
      </c>
      <c r="E348" s="57" t="s">
        <v>32</v>
      </c>
      <c r="F348" s="60" t="s">
        <v>390</v>
      </c>
      <c r="G348" s="68">
        <v>45502</v>
      </c>
      <c r="H348" s="57">
        <v>7500</v>
      </c>
      <c r="I348" s="61">
        <v>7500</v>
      </c>
      <c r="J348" s="69" t="s">
        <v>337</v>
      </c>
    </row>
    <row r="349" spans="1:10">
      <c r="A349" s="58">
        <v>348</v>
      </c>
      <c r="B349" s="57">
        <v>18348</v>
      </c>
      <c r="C349" s="57" t="s">
        <v>854</v>
      </c>
      <c r="D349" s="57" t="s">
        <v>855</v>
      </c>
      <c r="E349" s="57" t="s">
        <v>32</v>
      </c>
      <c r="F349" s="60" t="s">
        <v>390</v>
      </c>
      <c r="G349" s="68">
        <v>45503</v>
      </c>
      <c r="H349" s="57">
        <v>7500</v>
      </c>
      <c r="I349" s="61">
        <v>7100</v>
      </c>
      <c r="J349" s="69" t="s">
        <v>300</v>
      </c>
    </row>
    <row r="350" spans="1:10">
      <c r="A350" s="58">
        <v>349</v>
      </c>
      <c r="B350" s="57">
        <v>18349</v>
      </c>
      <c r="C350" s="57" t="s">
        <v>856</v>
      </c>
      <c r="D350" s="57" t="s">
        <v>857</v>
      </c>
      <c r="E350" s="57" t="s">
        <v>32</v>
      </c>
      <c r="F350" s="60" t="s">
        <v>390</v>
      </c>
      <c r="G350" s="68">
        <v>45503</v>
      </c>
      <c r="H350" s="57">
        <v>7500</v>
      </c>
      <c r="I350" s="61">
        <v>7500</v>
      </c>
      <c r="J350" s="69" t="s">
        <v>35</v>
      </c>
    </row>
    <row r="351" spans="1:10">
      <c r="A351" s="58">
        <v>350</v>
      </c>
      <c r="B351" s="57">
        <v>18350</v>
      </c>
      <c r="C351" s="57" t="s">
        <v>858</v>
      </c>
      <c r="D351" s="57" t="s">
        <v>307</v>
      </c>
      <c r="E351" s="57" t="s">
        <v>32</v>
      </c>
      <c r="F351" s="60" t="s">
        <v>390</v>
      </c>
      <c r="G351" s="68">
        <v>45503</v>
      </c>
      <c r="H351" s="57">
        <v>7500</v>
      </c>
      <c r="I351" s="61">
        <v>7100</v>
      </c>
      <c r="J351" s="69" t="s">
        <v>88</v>
      </c>
    </row>
    <row r="352" spans="1:10">
      <c r="A352" s="58">
        <v>351</v>
      </c>
      <c r="B352" s="57">
        <v>18351</v>
      </c>
      <c r="C352" s="57" t="s">
        <v>859</v>
      </c>
      <c r="D352" s="57" t="s">
        <v>860</v>
      </c>
      <c r="E352" s="57" t="s">
        <v>54</v>
      </c>
      <c r="F352" s="60" t="s">
        <v>390</v>
      </c>
      <c r="G352" s="68">
        <v>45503</v>
      </c>
      <c r="H352" s="57">
        <v>7500</v>
      </c>
      <c r="I352" s="61">
        <v>7500</v>
      </c>
      <c r="J352" s="69" t="s">
        <v>306</v>
      </c>
    </row>
    <row r="353" spans="1:10">
      <c r="A353" s="58">
        <v>352</v>
      </c>
      <c r="B353" s="57">
        <v>18352</v>
      </c>
      <c r="C353" s="57" t="s">
        <v>861</v>
      </c>
      <c r="D353" s="57" t="s">
        <v>365</v>
      </c>
      <c r="E353" s="57" t="s">
        <v>54</v>
      </c>
      <c r="F353" s="60" t="s">
        <v>390</v>
      </c>
      <c r="G353" s="68">
        <v>45503</v>
      </c>
      <c r="H353" s="57">
        <v>7500</v>
      </c>
      <c r="I353" s="61">
        <v>7500</v>
      </c>
      <c r="J353" s="69" t="s">
        <v>325</v>
      </c>
    </row>
    <row r="354" spans="1:10">
      <c r="A354" s="58">
        <v>353</v>
      </c>
      <c r="B354" s="57">
        <v>18353</v>
      </c>
      <c r="C354" s="57" t="s">
        <v>862</v>
      </c>
      <c r="D354" s="57" t="s">
        <v>863</v>
      </c>
      <c r="E354" s="57" t="s">
        <v>54</v>
      </c>
      <c r="F354" s="60" t="s">
        <v>390</v>
      </c>
      <c r="G354" s="68">
        <v>45503</v>
      </c>
      <c r="H354" s="57">
        <v>7500</v>
      </c>
      <c r="I354" s="61">
        <v>6900</v>
      </c>
      <c r="J354" s="69" t="s">
        <v>295</v>
      </c>
    </row>
    <row r="355" spans="1:10">
      <c r="A355" s="58">
        <v>354</v>
      </c>
      <c r="B355" s="57">
        <v>18354</v>
      </c>
      <c r="C355" s="57" t="s">
        <v>864</v>
      </c>
      <c r="D355" s="57" t="s">
        <v>865</v>
      </c>
      <c r="E355" s="57" t="s">
        <v>32</v>
      </c>
      <c r="F355" s="60" t="s">
        <v>390</v>
      </c>
      <c r="G355" s="68">
        <v>45503</v>
      </c>
      <c r="H355" s="57">
        <v>7500</v>
      </c>
      <c r="I355" s="61">
        <v>6900</v>
      </c>
      <c r="J355" s="69" t="s">
        <v>297</v>
      </c>
    </row>
    <row r="356" spans="1:10">
      <c r="A356" s="58">
        <v>355</v>
      </c>
      <c r="B356" s="57">
        <v>18355</v>
      </c>
      <c r="C356" s="57" t="s">
        <v>866</v>
      </c>
      <c r="D356" s="58" t="s">
        <v>580</v>
      </c>
      <c r="E356" s="57" t="s">
        <v>32</v>
      </c>
      <c r="F356" s="60" t="s">
        <v>390</v>
      </c>
      <c r="G356" s="68">
        <v>45503</v>
      </c>
      <c r="H356" s="57">
        <v>7500</v>
      </c>
      <c r="I356" s="61">
        <v>7500</v>
      </c>
      <c r="J356" s="69" t="s">
        <v>310</v>
      </c>
    </row>
    <row r="357" spans="1:10">
      <c r="A357" s="58">
        <v>356</v>
      </c>
      <c r="B357" s="57">
        <v>18356</v>
      </c>
      <c r="C357" s="57" t="s">
        <v>867</v>
      </c>
      <c r="D357" s="57" t="s">
        <v>868</v>
      </c>
      <c r="E357" s="57" t="s">
        <v>32</v>
      </c>
      <c r="F357" s="60" t="s">
        <v>390</v>
      </c>
      <c r="G357" s="68">
        <v>45503</v>
      </c>
      <c r="H357" s="57">
        <v>7500</v>
      </c>
      <c r="I357" s="61">
        <v>6900</v>
      </c>
      <c r="J357" s="69" t="s">
        <v>322</v>
      </c>
    </row>
    <row r="358" spans="1:10">
      <c r="A358" s="58">
        <v>357</v>
      </c>
      <c r="B358" s="57">
        <v>18357</v>
      </c>
      <c r="C358" s="57" t="s">
        <v>869</v>
      </c>
      <c r="D358" s="57" t="s">
        <v>329</v>
      </c>
      <c r="E358" s="57" t="s">
        <v>32</v>
      </c>
      <c r="F358" s="60" t="s">
        <v>390</v>
      </c>
      <c r="G358" s="68">
        <v>45504</v>
      </c>
      <c r="H358" s="57">
        <v>7500</v>
      </c>
      <c r="I358" s="61">
        <v>7500</v>
      </c>
      <c r="J358" s="69" t="s">
        <v>337</v>
      </c>
    </row>
    <row r="359" spans="1:10">
      <c r="A359" s="58">
        <v>358</v>
      </c>
      <c r="B359" s="57">
        <v>18358</v>
      </c>
      <c r="C359" s="57" t="s">
        <v>870</v>
      </c>
      <c r="D359" s="57" t="s">
        <v>871</v>
      </c>
      <c r="E359" s="57" t="s">
        <v>54</v>
      </c>
      <c r="F359" s="60" t="s">
        <v>390</v>
      </c>
      <c r="G359" s="68">
        <v>45504</v>
      </c>
      <c r="H359" s="57">
        <v>7500</v>
      </c>
      <c r="I359" s="61">
        <v>7100</v>
      </c>
      <c r="J359" s="69" t="s">
        <v>300</v>
      </c>
    </row>
    <row r="360" spans="1:10">
      <c r="A360" s="58">
        <v>359</v>
      </c>
      <c r="B360" s="57">
        <v>18359</v>
      </c>
      <c r="C360" s="57" t="s">
        <v>872</v>
      </c>
      <c r="D360" s="57" t="s">
        <v>873</v>
      </c>
      <c r="E360" s="57" t="s">
        <v>54</v>
      </c>
      <c r="F360" s="60" t="s">
        <v>390</v>
      </c>
      <c r="G360" s="68">
        <v>45504</v>
      </c>
      <c r="H360" s="57">
        <v>7500</v>
      </c>
      <c r="I360" s="61">
        <v>7100</v>
      </c>
      <c r="J360" s="69" t="s">
        <v>322</v>
      </c>
    </row>
    <row r="361" spans="1:10">
      <c r="A361" s="58">
        <v>360</v>
      </c>
      <c r="B361" s="57">
        <v>18360</v>
      </c>
      <c r="C361" s="57" t="s">
        <v>874</v>
      </c>
      <c r="D361" s="57" t="s">
        <v>875</v>
      </c>
      <c r="E361" s="57" t="s">
        <v>54</v>
      </c>
      <c r="F361" s="60" t="s">
        <v>390</v>
      </c>
      <c r="G361" s="68">
        <v>45504</v>
      </c>
      <c r="H361" s="57">
        <v>7500</v>
      </c>
      <c r="I361" s="61">
        <v>7500</v>
      </c>
      <c r="J361" s="69" t="s">
        <v>322</v>
      </c>
    </row>
    <row r="362" spans="1:10">
      <c r="A362" s="58">
        <v>361</v>
      </c>
      <c r="B362" s="57">
        <v>18361</v>
      </c>
      <c r="C362" s="57" t="s">
        <v>876</v>
      </c>
      <c r="D362" s="57" t="s">
        <v>877</v>
      </c>
      <c r="E362" s="57" t="s">
        <v>32</v>
      </c>
      <c r="F362" s="60" t="s">
        <v>390</v>
      </c>
      <c r="G362" s="68">
        <v>45504</v>
      </c>
      <c r="H362" s="57">
        <v>7500</v>
      </c>
      <c r="I362" s="61">
        <v>6900</v>
      </c>
      <c r="J362" s="69" t="s">
        <v>297</v>
      </c>
    </row>
    <row r="363" spans="1:10">
      <c r="A363" s="58">
        <v>362</v>
      </c>
      <c r="B363" s="57">
        <v>18362</v>
      </c>
      <c r="C363" s="57" t="s">
        <v>878</v>
      </c>
      <c r="D363" s="57" t="s">
        <v>879</v>
      </c>
      <c r="E363" s="57" t="s">
        <v>32</v>
      </c>
      <c r="F363" s="60" t="s">
        <v>390</v>
      </c>
      <c r="G363" s="68">
        <v>45504</v>
      </c>
      <c r="H363" s="57">
        <v>7500</v>
      </c>
      <c r="I363" s="61">
        <v>6900</v>
      </c>
      <c r="J363" s="69" t="s">
        <v>310</v>
      </c>
    </row>
    <row r="364" spans="1:10">
      <c r="A364" s="58">
        <v>363</v>
      </c>
      <c r="B364" s="57">
        <v>18363</v>
      </c>
      <c r="C364" s="57" t="s">
        <v>880</v>
      </c>
      <c r="D364" s="57" t="s">
        <v>881</v>
      </c>
      <c r="E364" s="57" t="s">
        <v>32</v>
      </c>
      <c r="F364" s="60" t="s">
        <v>390</v>
      </c>
      <c r="G364" s="68">
        <v>45504</v>
      </c>
      <c r="H364" s="57">
        <v>7500</v>
      </c>
      <c r="I364" s="61">
        <v>7500</v>
      </c>
      <c r="J364" s="69" t="s">
        <v>310</v>
      </c>
    </row>
    <row r="365" spans="1:10">
      <c r="A365" s="58">
        <v>364</v>
      </c>
      <c r="B365" s="57">
        <v>18364</v>
      </c>
      <c r="C365" s="57" t="s">
        <v>882</v>
      </c>
      <c r="D365" s="57" t="s">
        <v>628</v>
      </c>
      <c r="E365" s="57" t="s">
        <v>32</v>
      </c>
      <c r="F365" s="60" t="s">
        <v>390</v>
      </c>
      <c r="G365" s="68">
        <v>45504</v>
      </c>
      <c r="H365" s="57">
        <v>7500</v>
      </c>
      <c r="I365" s="61">
        <v>7500</v>
      </c>
      <c r="J365" s="69" t="s">
        <v>325</v>
      </c>
    </row>
    <row r="366" spans="1:10">
      <c r="A366" s="58">
        <v>365</v>
      </c>
      <c r="B366" s="57">
        <v>18365</v>
      </c>
      <c r="C366" s="57" t="s">
        <v>883</v>
      </c>
      <c r="D366" s="57" t="s">
        <v>884</v>
      </c>
      <c r="E366" s="57" t="s">
        <v>32</v>
      </c>
      <c r="F366" s="60" t="s">
        <v>390</v>
      </c>
      <c r="G366" s="68">
        <v>45504</v>
      </c>
      <c r="H366" s="57">
        <v>7500</v>
      </c>
      <c r="I366" s="61">
        <v>6900</v>
      </c>
      <c r="J366" s="69" t="s">
        <v>295</v>
      </c>
    </row>
    <row r="367" spans="1:10">
      <c r="A367" s="58">
        <v>366</v>
      </c>
      <c r="B367" s="57">
        <v>18366</v>
      </c>
      <c r="C367" s="57" t="s">
        <v>885</v>
      </c>
      <c r="D367" s="57" t="s">
        <v>886</v>
      </c>
      <c r="E367" s="57" t="s">
        <v>32</v>
      </c>
      <c r="F367" s="60" t="s">
        <v>390</v>
      </c>
      <c r="G367" s="68">
        <v>45505</v>
      </c>
      <c r="H367" s="57">
        <v>7500</v>
      </c>
      <c r="I367" s="61">
        <v>7500</v>
      </c>
      <c r="J367" s="69" t="s">
        <v>297</v>
      </c>
    </row>
    <row r="368" spans="1:10">
      <c r="A368" s="58">
        <v>367</v>
      </c>
      <c r="B368" s="57">
        <v>18367</v>
      </c>
      <c r="C368" s="57" t="s">
        <v>887</v>
      </c>
      <c r="D368" s="57" t="s">
        <v>888</v>
      </c>
      <c r="E368" s="57" t="s">
        <v>54</v>
      </c>
      <c r="F368" s="60" t="s">
        <v>390</v>
      </c>
      <c r="G368" s="68">
        <v>45505</v>
      </c>
      <c r="H368" s="57">
        <v>7500</v>
      </c>
      <c r="I368" s="61">
        <v>6900</v>
      </c>
      <c r="J368" s="69" t="s">
        <v>310</v>
      </c>
    </row>
    <row r="369" spans="1:10">
      <c r="A369" s="58">
        <v>368</v>
      </c>
      <c r="B369" s="57">
        <v>18368</v>
      </c>
      <c r="C369" s="57" t="s">
        <v>646</v>
      </c>
      <c r="D369" s="57" t="s">
        <v>889</v>
      </c>
      <c r="E369" s="57" t="s">
        <v>54</v>
      </c>
      <c r="F369" s="60" t="s">
        <v>390</v>
      </c>
      <c r="G369" s="68">
        <v>45505</v>
      </c>
      <c r="H369" s="57">
        <v>7500</v>
      </c>
      <c r="I369" s="61">
        <v>7500</v>
      </c>
      <c r="J369" s="69" t="s">
        <v>322</v>
      </c>
    </row>
    <row r="370" spans="1:10">
      <c r="A370" s="58">
        <v>369</v>
      </c>
      <c r="B370" s="57">
        <v>18369</v>
      </c>
      <c r="C370" s="57" t="s">
        <v>890</v>
      </c>
      <c r="D370" s="57" t="s">
        <v>891</v>
      </c>
      <c r="E370" s="57" t="s">
        <v>32</v>
      </c>
      <c r="F370" s="60" t="s">
        <v>390</v>
      </c>
      <c r="G370" s="68">
        <v>45505</v>
      </c>
      <c r="H370" s="57">
        <v>7500</v>
      </c>
      <c r="I370" s="61">
        <v>7500</v>
      </c>
      <c r="J370" s="69" t="s">
        <v>337</v>
      </c>
    </row>
    <row r="371" spans="1:10">
      <c r="A371" s="58">
        <v>370</v>
      </c>
      <c r="B371" s="57">
        <v>18370</v>
      </c>
      <c r="C371" s="57" t="s">
        <v>892</v>
      </c>
      <c r="D371" s="57" t="s">
        <v>893</v>
      </c>
      <c r="E371" s="57" t="s">
        <v>54</v>
      </c>
      <c r="F371" s="60" t="s">
        <v>390</v>
      </c>
      <c r="G371" s="68">
        <v>45505</v>
      </c>
      <c r="H371" s="57">
        <v>7500</v>
      </c>
      <c r="I371" s="61">
        <v>6900</v>
      </c>
      <c r="J371" s="69" t="s">
        <v>300</v>
      </c>
    </row>
    <row r="372" spans="1:10">
      <c r="A372" s="58">
        <v>371</v>
      </c>
      <c r="B372" s="57">
        <v>18371</v>
      </c>
      <c r="C372" s="57" t="s">
        <v>894</v>
      </c>
      <c r="D372" s="57" t="s">
        <v>365</v>
      </c>
      <c r="E372" s="57" t="s">
        <v>32</v>
      </c>
      <c r="F372" s="60" t="s">
        <v>390</v>
      </c>
      <c r="G372" s="68">
        <v>45505</v>
      </c>
      <c r="H372" s="57">
        <v>7500</v>
      </c>
      <c r="I372" s="61">
        <v>7500</v>
      </c>
      <c r="J372" s="69" t="s">
        <v>322</v>
      </c>
    </row>
    <row r="373" spans="1:10">
      <c r="A373" s="58">
        <v>372</v>
      </c>
      <c r="B373" s="57">
        <v>18372</v>
      </c>
      <c r="C373" s="57" t="s">
        <v>693</v>
      </c>
      <c r="D373" s="57" t="s">
        <v>895</v>
      </c>
      <c r="E373" s="57" t="s">
        <v>32</v>
      </c>
      <c r="F373" s="60" t="s">
        <v>390</v>
      </c>
      <c r="G373" s="68">
        <v>45505</v>
      </c>
      <c r="H373" s="57">
        <v>7500</v>
      </c>
      <c r="I373" s="61">
        <v>450</v>
      </c>
      <c r="J373" s="69" t="s">
        <v>322</v>
      </c>
    </row>
    <row r="374" spans="1:10">
      <c r="A374" s="58">
        <v>373</v>
      </c>
      <c r="B374" s="57">
        <v>18373</v>
      </c>
      <c r="C374" s="57" t="s">
        <v>896</v>
      </c>
      <c r="D374" s="57" t="s">
        <v>897</v>
      </c>
      <c r="E374" s="57" t="s">
        <v>32</v>
      </c>
      <c r="F374" s="60" t="s">
        <v>390</v>
      </c>
      <c r="G374" s="68">
        <v>45506</v>
      </c>
      <c r="H374" s="57">
        <v>7500</v>
      </c>
      <c r="I374" s="61">
        <v>7100</v>
      </c>
      <c r="J374" s="69" t="s">
        <v>297</v>
      </c>
    </row>
    <row r="375" spans="1:10">
      <c r="A375" s="58">
        <v>374</v>
      </c>
      <c r="B375" s="57">
        <v>18374</v>
      </c>
      <c r="C375" s="57" t="s">
        <v>898</v>
      </c>
      <c r="D375" s="57" t="s">
        <v>899</v>
      </c>
      <c r="E375" s="57" t="s">
        <v>32</v>
      </c>
      <c r="F375" s="60" t="s">
        <v>390</v>
      </c>
      <c r="G375" s="68">
        <v>45506</v>
      </c>
      <c r="H375" s="57">
        <v>7500</v>
      </c>
      <c r="I375" s="61">
        <v>7100</v>
      </c>
      <c r="J375" s="69" t="s">
        <v>310</v>
      </c>
    </row>
    <row r="376" spans="1:10">
      <c r="A376" s="58">
        <v>375</v>
      </c>
      <c r="B376" s="57">
        <v>18375</v>
      </c>
      <c r="C376" s="57" t="s">
        <v>731</v>
      </c>
      <c r="D376" s="57" t="s">
        <v>900</v>
      </c>
      <c r="E376" s="57" t="s">
        <v>32</v>
      </c>
      <c r="F376" s="60" t="s">
        <v>390</v>
      </c>
      <c r="G376" s="68">
        <v>45506</v>
      </c>
      <c r="H376" s="57">
        <v>7500</v>
      </c>
      <c r="I376" s="61">
        <v>6900</v>
      </c>
      <c r="J376" s="69" t="s">
        <v>297</v>
      </c>
    </row>
    <row r="377" spans="1:10">
      <c r="A377" s="58">
        <v>376</v>
      </c>
      <c r="B377" s="57">
        <v>18376</v>
      </c>
      <c r="C377" s="57" t="s">
        <v>901</v>
      </c>
      <c r="D377" s="57" t="s">
        <v>902</v>
      </c>
      <c r="E377" s="57" t="s">
        <v>54</v>
      </c>
      <c r="F377" s="60" t="s">
        <v>390</v>
      </c>
      <c r="G377" s="68">
        <v>45507</v>
      </c>
      <c r="H377" s="57">
        <v>7500</v>
      </c>
      <c r="I377" s="61">
        <v>7500</v>
      </c>
      <c r="J377" s="69" t="s">
        <v>310</v>
      </c>
    </row>
    <row r="378" spans="1:10">
      <c r="A378" s="58">
        <v>377</v>
      </c>
      <c r="B378" s="57">
        <v>18377</v>
      </c>
      <c r="C378" s="57" t="s">
        <v>903</v>
      </c>
      <c r="D378" s="57" t="s">
        <v>904</v>
      </c>
      <c r="E378" s="57" t="s">
        <v>54</v>
      </c>
      <c r="F378" s="60" t="s">
        <v>390</v>
      </c>
      <c r="G378" s="68">
        <v>45507</v>
      </c>
      <c r="H378" s="57">
        <v>7500</v>
      </c>
      <c r="I378" s="61">
        <v>6900</v>
      </c>
      <c r="J378" s="69" t="s">
        <v>322</v>
      </c>
    </row>
    <row r="379" spans="1:10">
      <c r="A379" s="58">
        <v>378</v>
      </c>
      <c r="B379" s="57">
        <v>18378</v>
      </c>
      <c r="C379" s="57" t="s">
        <v>905</v>
      </c>
      <c r="D379" s="57" t="s">
        <v>906</v>
      </c>
      <c r="E379" s="57" t="s">
        <v>54</v>
      </c>
      <c r="F379" s="60" t="s">
        <v>390</v>
      </c>
      <c r="G379" s="68">
        <v>45507</v>
      </c>
      <c r="H379" s="57">
        <v>7500</v>
      </c>
      <c r="I379" s="61">
        <v>7500</v>
      </c>
      <c r="J379" s="69" t="s">
        <v>337</v>
      </c>
    </row>
    <row r="380" spans="1:10">
      <c r="A380" s="58">
        <v>379</v>
      </c>
      <c r="B380" s="57">
        <v>18379</v>
      </c>
      <c r="C380" s="57" t="s">
        <v>907</v>
      </c>
      <c r="D380" s="57" t="s">
        <v>434</v>
      </c>
      <c r="E380" s="57" t="s">
        <v>32</v>
      </c>
      <c r="F380" s="60" t="s">
        <v>390</v>
      </c>
      <c r="G380" s="68">
        <v>45509</v>
      </c>
      <c r="H380" s="57">
        <v>7500</v>
      </c>
      <c r="I380" s="61">
        <v>6900</v>
      </c>
      <c r="J380" s="69" t="s">
        <v>300</v>
      </c>
    </row>
    <row r="381" spans="1:10">
      <c r="A381" s="58">
        <v>380</v>
      </c>
      <c r="B381" s="57">
        <v>18380</v>
      </c>
      <c r="C381" s="57" t="s">
        <v>908</v>
      </c>
      <c r="D381" s="57" t="s">
        <v>909</v>
      </c>
      <c r="E381" s="57" t="s">
        <v>32</v>
      </c>
      <c r="F381" s="60" t="s">
        <v>390</v>
      </c>
      <c r="G381" s="68">
        <v>45509</v>
      </c>
      <c r="H381" s="57">
        <v>7500</v>
      </c>
      <c r="I381" s="61">
        <v>7500</v>
      </c>
      <c r="J381" s="69" t="s">
        <v>35</v>
      </c>
    </row>
    <row r="382" spans="1:10">
      <c r="A382" s="58">
        <v>381</v>
      </c>
      <c r="B382" s="57">
        <v>18381</v>
      </c>
      <c r="C382" s="57" t="s">
        <v>910</v>
      </c>
      <c r="D382" s="57" t="s">
        <v>633</v>
      </c>
      <c r="E382" s="57" t="s">
        <v>32</v>
      </c>
      <c r="F382" s="60" t="s">
        <v>390</v>
      </c>
      <c r="G382" s="68">
        <v>45509</v>
      </c>
      <c r="H382" s="57">
        <v>7500</v>
      </c>
      <c r="I382" s="61">
        <v>6900</v>
      </c>
      <c r="J382" s="69" t="s">
        <v>88</v>
      </c>
    </row>
    <row r="383" spans="1:10">
      <c r="A383" s="58">
        <v>382</v>
      </c>
      <c r="B383" s="57">
        <v>18382</v>
      </c>
      <c r="C383" s="57" t="s">
        <v>911</v>
      </c>
      <c r="D383" s="57" t="s">
        <v>912</v>
      </c>
      <c r="E383" s="57" t="s">
        <v>32</v>
      </c>
      <c r="F383" s="60" t="s">
        <v>390</v>
      </c>
      <c r="G383" s="68">
        <v>45510</v>
      </c>
      <c r="H383" s="57">
        <v>7500</v>
      </c>
      <c r="I383" s="61">
        <v>7500</v>
      </c>
      <c r="J383" s="69" t="s">
        <v>306</v>
      </c>
    </row>
    <row r="384" spans="1:10">
      <c r="A384" s="58">
        <v>383</v>
      </c>
      <c r="B384" s="57">
        <v>18383</v>
      </c>
      <c r="C384" s="57" t="s">
        <v>913</v>
      </c>
      <c r="D384" s="57" t="s">
        <v>914</v>
      </c>
      <c r="E384" s="57" t="s">
        <v>32</v>
      </c>
      <c r="F384" s="60" t="s">
        <v>390</v>
      </c>
      <c r="G384" s="68">
        <v>45510</v>
      </c>
      <c r="H384" s="57">
        <v>7500</v>
      </c>
      <c r="I384" s="61">
        <v>7500</v>
      </c>
      <c r="J384" s="69" t="s">
        <v>325</v>
      </c>
    </row>
    <row r="385" spans="1:10">
      <c r="A385" s="58">
        <v>384</v>
      </c>
      <c r="B385" s="57">
        <v>18384</v>
      </c>
      <c r="C385" s="57" t="s">
        <v>915</v>
      </c>
      <c r="D385" s="57" t="s">
        <v>916</v>
      </c>
      <c r="E385" s="57" t="s">
        <v>54</v>
      </c>
      <c r="F385" s="60" t="s">
        <v>390</v>
      </c>
      <c r="G385" s="68">
        <v>45510</v>
      </c>
      <c r="H385" s="57">
        <v>7500</v>
      </c>
      <c r="I385" s="61">
        <v>7500</v>
      </c>
      <c r="J385" s="69" t="s">
        <v>295</v>
      </c>
    </row>
    <row r="386" spans="1:10">
      <c r="A386" s="58">
        <v>385</v>
      </c>
      <c r="B386" s="57">
        <v>18385</v>
      </c>
      <c r="C386" s="57" t="s">
        <v>917</v>
      </c>
      <c r="D386" s="57" t="s">
        <v>918</v>
      </c>
      <c r="E386" s="57" t="s">
        <v>54</v>
      </c>
      <c r="F386" s="60" t="s">
        <v>390</v>
      </c>
      <c r="G386" s="68">
        <v>45511</v>
      </c>
      <c r="H386" s="57">
        <v>7500</v>
      </c>
      <c r="I386" s="61">
        <v>7100</v>
      </c>
      <c r="J386" s="69" t="s">
        <v>297</v>
      </c>
    </row>
    <row r="387" spans="1:10">
      <c r="A387" s="58">
        <v>386</v>
      </c>
      <c r="B387" s="57">
        <v>18386</v>
      </c>
      <c r="C387" s="57" t="s">
        <v>919</v>
      </c>
      <c r="D387" s="57" t="s">
        <v>351</v>
      </c>
      <c r="E387" s="57" t="s">
        <v>32</v>
      </c>
      <c r="F387" s="60" t="s">
        <v>390</v>
      </c>
      <c r="G387" s="68">
        <v>45511</v>
      </c>
      <c r="H387" s="57">
        <v>7500</v>
      </c>
      <c r="I387" s="61">
        <v>6900</v>
      </c>
      <c r="J387" s="69" t="s">
        <v>310</v>
      </c>
    </row>
    <row r="388" spans="1:10">
      <c r="A388" s="58">
        <v>387</v>
      </c>
      <c r="B388" s="57">
        <v>18387</v>
      </c>
      <c r="C388" s="57" t="s">
        <v>494</v>
      </c>
      <c r="D388" s="57" t="s">
        <v>740</v>
      </c>
      <c r="E388" s="57" t="s">
        <v>54</v>
      </c>
      <c r="F388" s="60" t="s">
        <v>390</v>
      </c>
      <c r="G388" s="68">
        <v>45511</v>
      </c>
      <c r="H388" s="57">
        <v>7500</v>
      </c>
      <c r="I388" s="61">
        <v>7100</v>
      </c>
      <c r="J388" s="69" t="s">
        <v>297</v>
      </c>
    </row>
    <row r="389" spans="1:10">
      <c r="A389" s="58">
        <v>388</v>
      </c>
      <c r="B389" s="57">
        <v>18388</v>
      </c>
      <c r="C389" s="57" t="s">
        <v>920</v>
      </c>
      <c r="D389" s="57" t="s">
        <v>921</v>
      </c>
      <c r="E389" s="57" t="s">
        <v>32</v>
      </c>
      <c r="F389" s="60" t="s">
        <v>390</v>
      </c>
      <c r="G389" s="68">
        <v>45512</v>
      </c>
      <c r="H389" s="57">
        <v>7500</v>
      </c>
      <c r="I389" s="61">
        <v>7500</v>
      </c>
      <c r="J389" s="69" t="s">
        <v>310</v>
      </c>
    </row>
    <row r="390" spans="1:10">
      <c r="A390" s="58">
        <v>389</v>
      </c>
      <c r="B390" s="57">
        <v>18389</v>
      </c>
      <c r="C390" s="57" t="s">
        <v>922</v>
      </c>
      <c r="D390" s="57" t="s">
        <v>923</v>
      </c>
      <c r="E390" s="57" t="s">
        <v>32</v>
      </c>
      <c r="F390" s="60" t="s">
        <v>390</v>
      </c>
      <c r="G390" s="68">
        <v>45512</v>
      </c>
      <c r="H390" s="57">
        <v>7500</v>
      </c>
      <c r="I390" s="61">
        <v>6900</v>
      </c>
      <c r="J390" s="69" t="s">
        <v>322</v>
      </c>
    </row>
    <row r="391" spans="1:10">
      <c r="A391" s="58">
        <v>390</v>
      </c>
      <c r="B391" s="57">
        <v>18390</v>
      </c>
      <c r="C391" s="57" t="s">
        <v>312</v>
      </c>
      <c r="D391" s="57" t="s">
        <v>924</v>
      </c>
      <c r="E391" s="57" t="s">
        <v>32</v>
      </c>
      <c r="F391" s="60" t="s">
        <v>390</v>
      </c>
      <c r="G391" s="68">
        <v>45512</v>
      </c>
      <c r="H391" s="57">
        <v>7500</v>
      </c>
      <c r="I391" s="61">
        <v>7500</v>
      </c>
      <c r="J391" s="69" t="s">
        <v>337</v>
      </c>
    </row>
    <row r="392" spans="1:10">
      <c r="A392" s="58">
        <v>391</v>
      </c>
      <c r="B392" s="57">
        <v>18391</v>
      </c>
      <c r="C392" s="57" t="s">
        <v>925</v>
      </c>
      <c r="D392" s="57" t="s">
        <v>926</v>
      </c>
      <c r="E392" s="57" t="s">
        <v>54</v>
      </c>
      <c r="F392" s="60" t="s">
        <v>390</v>
      </c>
      <c r="G392" s="68">
        <v>45513</v>
      </c>
      <c r="H392" s="57">
        <v>7500</v>
      </c>
      <c r="I392" s="61">
        <v>6900</v>
      </c>
      <c r="J392" s="69" t="s">
        <v>300</v>
      </c>
    </row>
    <row r="393" spans="1:10">
      <c r="A393" s="58">
        <v>392</v>
      </c>
      <c r="B393" s="57">
        <v>18392</v>
      </c>
      <c r="C393" s="57" t="s">
        <v>927</v>
      </c>
      <c r="D393" s="57" t="s">
        <v>351</v>
      </c>
      <c r="E393" s="57" t="s">
        <v>32</v>
      </c>
      <c r="F393" s="60" t="s">
        <v>390</v>
      </c>
      <c r="G393" s="68">
        <v>45513</v>
      </c>
      <c r="H393" s="57">
        <v>7500</v>
      </c>
      <c r="I393" s="61">
        <v>500</v>
      </c>
      <c r="J393" s="69" t="s">
        <v>322</v>
      </c>
    </row>
    <row r="394" spans="1:10">
      <c r="A394" s="58">
        <v>393</v>
      </c>
      <c r="B394" s="57">
        <v>18393</v>
      </c>
      <c r="C394" s="57" t="s">
        <v>928</v>
      </c>
      <c r="D394" s="67" t="s">
        <v>929</v>
      </c>
      <c r="E394" s="57" t="s">
        <v>54</v>
      </c>
      <c r="F394" s="60" t="s">
        <v>390</v>
      </c>
      <c r="G394" s="68">
        <v>45513</v>
      </c>
      <c r="H394" s="57">
        <v>7500</v>
      </c>
      <c r="I394" s="61">
        <v>6900</v>
      </c>
      <c r="J394" s="69" t="s">
        <v>322</v>
      </c>
    </row>
    <row r="395" spans="1:10">
      <c r="A395" s="58">
        <v>394</v>
      </c>
      <c r="B395" s="57">
        <v>18394</v>
      </c>
      <c r="C395" s="57" t="s">
        <v>930</v>
      </c>
      <c r="D395" s="57" t="s">
        <v>931</v>
      </c>
      <c r="E395" s="57" t="s">
        <v>32</v>
      </c>
      <c r="F395" s="60" t="s">
        <v>330</v>
      </c>
      <c r="G395" s="68">
        <v>45514</v>
      </c>
      <c r="H395" s="57">
        <v>3200</v>
      </c>
      <c r="I395" s="61">
        <v>3200</v>
      </c>
      <c r="J395" s="69" t="s">
        <v>297</v>
      </c>
    </row>
    <row r="396" spans="1:10">
      <c r="A396" s="58">
        <v>395</v>
      </c>
      <c r="B396" s="57">
        <v>18395</v>
      </c>
      <c r="C396" s="57" t="s">
        <v>932</v>
      </c>
      <c r="D396" s="57" t="s">
        <v>933</v>
      </c>
      <c r="E396" s="57" t="s">
        <v>32</v>
      </c>
      <c r="F396" s="60" t="s">
        <v>330</v>
      </c>
      <c r="G396" s="68">
        <v>45514</v>
      </c>
      <c r="H396" s="57">
        <v>3200</v>
      </c>
      <c r="I396" s="61">
        <v>2800</v>
      </c>
      <c r="J396" s="69" t="s">
        <v>310</v>
      </c>
    </row>
    <row r="397" spans="1:10">
      <c r="A397" s="58">
        <v>396</v>
      </c>
      <c r="B397" s="57">
        <v>18396</v>
      </c>
      <c r="C397" s="57" t="s">
        <v>934</v>
      </c>
      <c r="D397" s="57" t="s">
        <v>89</v>
      </c>
      <c r="E397" s="57" t="s">
        <v>54</v>
      </c>
      <c r="F397" s="60" t="s">
        <v>390</v>
      </c>
      <c r="G397" s="68">
        <v>45514</v>
      </c>
      <c r="H397" s="57">
        <v>7500</v>
      </c>
      <c r="I397" s="61">
        <v>7500</v>
      </c>
      <c r="J397" s="69" t="s">
        <v>310</v>
      </c>
    </row>
    <row r="398" spans="1:10">
      <c r="A398" s="58">
        <v>397</v>
      </c>
      <c r="B398" s="57">
        <v>18397</v>
      </c>
      <c r="C398" s="57" t="s">
        <v>935</v>
      </c>
      <c r="D398" s="57" t="s">
        <v>936</v>
      </c>
      <c r="E398" s="57" t="s">
        <v>32</v>
      </c>
      <c r="F398" s="60" t="s">
        <v>390</v>
      </c>
      <c r="G398" s="68">
        <v>45516</v>
      </c>
      <c r="H398" s="57">
        <v>7500</v>
      </c>
      <c r="I398" s="61">
        <v>7500</v>
      </c>
      <c r="J398" s="69" t="s">
        <v>325</v>
      </c>
    </row>
    <row r="399" spans="1:10">
      <c r="A399" s="58">
        <v>398</v>
      </c>
      <c r="B399" s="57">
        <v>18398</v>
      </c>
      <c r="C399" s="57" t="s">
        <v>937</v>
      </c>
      <c r="D399" s="57" t="s">
        <v>503</v>
      </c>
      <c r="E399" s="57" t="s">
        <v>32</v>
      </c>
      <c r="F399" s="60" t="s">
        <v>390</v>
      </c>
      <c r="G399" s="68">
        <v>45516</v>
      </c>
      <c r="H399" s="57">
        <v>7500</v>
      </c>
      <c r="I399" s="61">
        <v>7500</v>
      </c>
      <c r="J399" s="69" t="s">
        <v>295</v>
      </c>
    </row>
    <row r="400" spans="1:10">
      <c r="A400" s="58">
        <v>399</v>
      </c>
      <c r="B400" s="57">
        <v>18399</v>
      </c>
      <c r="C400" s="57" t="s">
        <v>938</v>
      </c>
      <c r="D400" s="57" t="s">
        <v>939</v>
      </c>
      <c r="E400" s="57" t="s">
        <v>32</v>
      </c>
      <c r="F400" s="60" t="s">
        <v>390</v>
      </c>
      <c r="G400" s="68">
        <v>45516</v>
      </c>
      <c r="H400" s="57">
        <v>7500</v>
      </c>
      <c r="I400" s="61">
        <v>7100</v>
      </c>
      <c r="J400" s="69" t="s">
        <v>297</v>
      </c>
    </row>
    <row r="401" spans="1:10">
      <c r="A401" s="58">
        <v>400</v>
      </c>
      <c r="B401" s="57">
        <v>18400</v>
      </c>
      <c r="C401" s="57" t="s">
        <v>940</v>
      </c>
      <c r="D401" s="57" t="s">
        <v>633</v>
      </c>
      <c r="E401" s="57" t="s">
        <v>54</v>
      </c>
      <c r="F401" s="60" t="s">
        <v>390</v>
      </c>
      <c r="G401" s="68">
        <v>45517</v>
      </c>
      <c r="H401" s="57">
        <v>7500</v>
      </c>
      <c r="I401" s="61">
        <v>6900</v>
      </c>
      <c r="J401" s="69" t="s">
        <v>310</v>
      </c>
    </row>
    <row r="402" spans="1:10">
      <c r="A402" s="58">
        <v>401</v>
      </c>
      <c r="B402" s="57">
        <v>18401</v>
      </c>
      <c r="C402" s="57" t="s">
        <v>941</v>
      </c>
      <c r="D402" s="57" t="s">
        <v>628</v>
      </c>
      <c r="E402" s="57" t="s">
        <v>54</v>
      </c>
      <c r="F402" s="60" t="s">
        <v>390</v>
      </c>
      <c r="G402" s="68">
        <v>45517</v>
      </c>
      <c r="H402" s="57">
        <v>7500</v>
      </c>
      <c r="I402" s="61">
        <v>7100</v>
      </c>
      <c r="J402" s="69" t="s">
        <v>322</v>
      </c>
    </row>
    <row r="403" spans="1:10">
      <c r="A403" s="58">
        <v>402</v>
      </c>
      <c r="B403" s="57">
        <v>18402</v>
      </c>
      <c r="C403" s="57" t="s">
        <v>942</v>
      </c>
      <c r="D403" s="57" t="s">
        <v>943</v>
      </c>
      <c r="E403" s="57" t="s">
        <v>54</v>
      </c>
      <c r="F403" s="60" t="s">
        <v>390</v>
      </c>
      <c r="G403" s="68">
        <v>45517</v>
      </c>
      <c r="H403" s="57">
        <v>7500</v>
      </c>
      <c r="I403" s="61">
        <v>6900</v>
      </c>
      <c r="J403" s="69" t="s">
        <v>337</v>
      </c>
    </row>
    <row r="404" spans="1:10">
      <c r="A404" s="58">
        <v>403</v>
      </c>
      <c r="B404" s="57">
        <v>18403</v>
      </c>
      <c r="C404" s="57" t="s">
        <v>944</v>
      </c>
      <c r="D404" s="57" t="s">
        <v>945</v>
      </c>
      <c r="E404" s="57" t="s">
        <v>32</v>
      </c>
      <c r="F404" s="60" t="s">
        <v>390</v>
      </c>
      <c r="G404" s="68">
        <v>45518</v>
      </c>
      <c r="H404" s="57">
        <v>7500</v>
      </c>
      <c r="I404" s="61">
        <v>7500</v>
      </c>
      <c r="J404" s="69" t="s">
        <v>297</v>
      </c>
    </row>
    <row r="405" spans="1:10">
      <c r="A405" s="58">
        <v>404</v>
      </c>
      <c r="B405" s="57">
        <v>18404</v>
      </c>
      <c r="C405" s="57" t="s">
        <v>946</v>
      </c>
      <c r="D405" s="57" t="s">
        <v>947</v>
      </c>
      <c r="E405" s="57" t="s">
        <v>32</v>
      </c>
      <c r="F405" s="60" t="s">
        <v>390</v>
      </c>
      <c r="G405" s="68">
        <v>45518</v>
      </c>
      <c r="H405" s="57">
        <v>7500</v>
      </c>
      <c r="I405" s="61">
        <v>7500</v>
      </c>
      <c r="J405" s="69" t="s">
        <v>310</v>
      </c>
    </row>
    <row r="406" spans="1:10">
      <c r="A406" s="58">
        <v>405</v>
      </c>
      <c r="B406" s="57">
        <v>18405</v>
      </c>
      <c r="C406" s="57" t="s">
        <v>948</v>
      </c>
      <c r="D406" s="58" t="s">
        <v>949</v>
      </c>
      <c r="E406" s="57" t="s">
        <v>32</v>
      </c>
      <c r="F406" s="60" t="s">
        <v>390</v>
      </c>
      <c r="G406" s="68">
        <v>45518</v>
      </c>
      <c r="H406" s="57">
        <v>7500</v>
      </c>
      <c r="I406" s="61">
        <v>7500</v>
      </c>
      <c r="J406" s="69" t="s">
        <v>322</v>
      </c>
    </row>
    <row r="407" spans="1:10">
      <c r="A407" s="58">
        <v>406</v>
      </c>
      <c r="B407" s="57">
        <v>18406</v>
      </c>
      <c r="C407" s="57" t="s">
        <v>550</v>
      </c>
      <c r="D407" s="57" t="s">
        <v>950</v>
      </c>
      <c r="E407" s="57" t="s">
        <v>32</v>
      </c>
      <c r="F407" s="60" t="s">
        <v>390</v>
      </c>
      <c r="G407" s="68">
        <v>45519</v>
      </c>
      <c r="H407" s="57">
        <v>7500</v>
      </c>
      <c r="I407" s="61">
        <v>6900</v>
      </c>
      <c r="J407" s="69" t="s">
        <v>337</v>
      </c>
    </row>
    <row r="408" spans="1:10">
      <c r="A408" s="58">
        <v>407</v>
      </c>
      <c r="B408" s="57">
        <v>18407</v>
      </c>
      <c r="C408" s="57" t="s">
        <v>951</v>
      </c>
      <c r="D408" s="57" t="s">
        <v>952</v>
      </c>
      <c r="E408" s="57" t="s">
        <v>32</v>
      </c>
      <c r="F408" s="60" t="s">
        <v>390</v>
      </c>
      <c r="G408" s="68">
        <v>45519</v>
      </c>
      <c r="H408" s="57">
        <v>7500</v>
      </c>
      <c r="I408" s="61">
        <v>6900</v>
      </c>
      <c r="J408" s="69" t="s">
        <v>300</v>
      </c>
    </row>
    <row r="409" spans="1:10">
      <c r="A409" s="58">
        <v>408</v>
      </c>
      <c r="B409" s="57">
        <v>18408</v>
      </c>
      <c r="C409" s="57" t="s">
        <v>953</v>
      </c>
      <c r="D409" s="57" t="s">
        <v>954</v>
      </c>
      <c r="E409" s="57" t="s">
        <v>54</v>
      </c>
      <c r="F409" s="60" t="s">
        <v>390</v>
      </c>
      <c r="G409" s="68">
        <v>45519</v>
      </c>
      <c r="H409" s="57">
        <v>7500</v>
      </c>
      <c r="I409" s="61">
        <v>7500</v>
      </c>
      <c r="J409" s="69" t="s">
        <v>322</v>
      </c>
    </row>
    <row r="410" spans="1:10">
      <c r="A410" s="58">
        <v>409</v>
      </c>
      <c r="B410" s="57">
        <v>18409</v>
      </c>
      <c r="C410" s="57" t="s">
        <v>955</v>
      </c>
      <c r="D410" s="57" t="s">
        <v>365</v>
      </c>
      <c r="E410" s="57" t="s">
        <v>54</v>
      </c>
      <c r="F410" s="60" t="s">
        <v>390</v>
      </c>
      <c r="G410" s="68">
        <v>45520</v>
      </c>
      <c r="H410" s="57">
        <v>7500</v>
      </c>
      <c r="I410" s="61">
        <v>7500</v>
      </c>
      <c r="J410" s="69" t="s">
        <v>322</v>
      </c>
    </row>
    <row r="411" spans="1:10">
      <c r="A411" s="58">
        <v>410</v>
      </c>
      <c r="B411" s="57">
        <v>18410</v>
      </c>
      <c r="C411" s="57" t="s">
        <v>956</v>
      </c>
      <c r="D411" s="57" t="s">
        <v>957</v>
      </c>
      <c r="E411" s="57" t="s">
        <v>32</v>
      </c>
      <c r="F411" s="60" t="s">
        <v>390</v>
      </c>
      <c r="G411" s="68">
        <v>45520</v>
      </c>
      <c r="H411" s="57">
        <v>7500</v>
      </c>
      <c r="I411" s="61">
        <v>7100</v>
      </c>
      <c r="J411" s="69" t="s">
        <v>297</v>
      </c>
    </row>
    <row r="412" spans="1:10">
      <c r="A412" s="58">
        <v>411</v>
      </c>
      <c r="B412" s="57">
        <v>18411</v>
      </c>
      <c r="C412" s="57" t="s">
        <v>958</v>
      </c>
      <c r="D412" s="57" t="s">
        <v>959</v>
      </c>
      <c r="E412" s="57" t="s">
        <v>54</v>
      </c>
      <c r="F412" s="60" t="s">
        <v>390</v>
      </c>
      <c r="G412" s="68">
        <v>45520</v>
      </c>
      <c r="H412" s="57">
        <v>7500</v>
      </c>
      <c r="I412" s="61">
        <v>900</v>
      </c>
      <c r="J412" s="69" t="s">
        <v>310</v>
      </c>
    </row>
    <row r="413" spans="1:10">
      <c r="A413" s="58">
        <v>412</v>
      </c>
      <c r="B413" s="57">
        <v>18412</v>
      </c>
      <c r="C413" s="57" t="s">
        <v>960</v>
      </c>
      <c r="D413" s="62" t="s">
        <v>961</v>
      </c>
      <c r="E413" s="57" t="s">
        <v>32</v>
      </c>
      <c r="F413" s="60" t="s">
        <v>390</v>
      </c>
      <c r="G413" s="68">
        <v>45521</v>
      </c>
      <c r="H413" s="57">
        <v>7500</v>
      </c>
      <c r="I413" s="61">
        <v>7100</v>
      </c>
      <c r="J413" s="69" t="s">
        <v>310</v>
      </c>
    </row>
    <row r="414" spans="1:10">
      <c r="A414" s="58">
        <v>413</v>
      </c>
      <c r="B414" s="57">
        <v>18413</v>
      </c>
      <c r="C414" s="57" t="s">
        <v>962</v>
      </c>
      <c r="D414" s="58" t="s">
        <v>881</v>
      </c>
      <c r="E414" s="57" t="s">
        <v>32</v>
      </c>
      <c r="F414" s="60" t="s">
        <v>390</v>
      </c>
      <c r="G414" s="68">
        <v>45521</v>
      </c>
      <c r="H414" s="57">
        <v>7500</v>
      </c>
      <c r="I414" s="61">
        <v>6900</v>
      </c>
      <c r="J414" s="69" t="s">
        <v>325</v>
      </c>
    </row>
    <row r="415" spans="1:10">
      <c r="A415" s="58">
        <v>414</v>
      </c>
      <c r="B415" s="57">
        <v>18414</v>
      </c>
      <c r="C415" s="57" t="s">
        <v>963</v>
      </c>
      <c r="D415" s="57" t="s">
        <v>964</v>
      </c>
      <c r="E415" s="57" t="s">
        <v>32</v>
      </c>
      <c r="F415" s="60" t="s">
        <v>390</v>
      </c>
      <c r="G415" s="68">
        <v>45521</v>
      </c>
      <c r="H415" s="57">
        <v>7500</v>
      </c>
      <c r="I415" s="61">
        <v>6900</v>
      </c>
      <c r="J415" s="69" t="s">
        <v>295</v>
      </c>
    </row>
    <row r="416" spans="1:10">
      <c r="A416" s="58">
        <v>415</v>
      </c>
      <c r="B416" s="57">
        <v>18415</v>
      </c>
      <c r="C416" s="57" t="s">
        <v>965</v>
      </c>
      <c r="D416" s="57" t="s">
        <v>484</v>
      </c>
      <c r="E416" s="57" t="s">
        <v>32</v>
      </c>
      <c r="F416" s="60" t="s">
        <v>390</v>
      </c>
      <c r="G416" s="68">
        <v>45523</v>
      </c>
      <c r="H416" s="57">
        <v>7500</v>
      </c>
      <c r="I416" s="61">
        <v>7500</v>
      </c>
      <c r="J416" s="69" t="s">
        <v>297</v>
      </c>
    </row>
    <row r="417" spans="1:10">
      <c r="A417" s="58">
        <v>416</v>
      </c>
      <c r="B417" s="57">
        <v>18416</v>
      </c>
      <c r="C417" s="57" t="s">
        <v>966</v>
      </c>
      <c r="D417" s="57" t="s">
        <v>967</v>
      </c>
      <c r="E417" s="57" t="s">
        <v>54</v>
      </c>
      <c r="F417" s="60" t="s">
        <v>390</v>
      </c>
      <c r="G417" s="68">
        <v>45523</v>
      </c>
      <c r="H417" s="57">
        <v>7500</v>
      </c>
      <c r="I417" s="61">
        <v>7500</v>
      </c>
      <c r="J417" s="69" t="s">
        <v>310</v>
      </c>
    </row>
    <row r="418" spans="1:10">
      <c r="A418" s="58">
        <v>417</v>
      </c>
      <c r="B418" s="57">
        <v>18417</v>
      </c>
      <c r="C418" s="57" t="s">
        <v>968</v>
      </c>
      <c r="D418" s="57" t="s">
        <v>516</v>
      </c>
      <c r="E418" s="57" t="s">
        <v>54</v>
      </c>
      <c r="F418" s="60" t="s">
        <v>390</v>
      </c>
      <c r="G418" s="68">
        <v>45523</v>
      </c>
      <c r="H418" s="57">
        <v>7500</v>
      </c>
      <c r="I418" s="61">
        <v>7500</v>
      </c>
      <c r="J418" s="69" t="s">
        <v>322</v>
      </c>
    </row>
    <row r="419" spans="1:10">
      <c r="A419" s="58">
        <v>418</v>
      </c>
      <c r="B419" s="57">
        <v>18418</v>
      </c>
      <c r="C419" s="57" t="s">
        <v>969</v>
      </c>
      <c r="D419" s="57" t="s">
        <v>535</v>
      </c>
      <c r="E419" s="57" t="s">
        <v>54</v>
      </c>
      <c r="F419" s="60" t="s">
        <v>390</v>
      </c>
      <c r="G419" s="68">
        <v>45524</v>
      </c>
      <c r="H419" s="57">
        <v>7500</v>
      </c>
      <c r="I419" s="61">
        <v>6900</v>
      </c>
      <c r="J419" s="69" t="s">
        <v>337</v>
      </c>
    </row>
    <row r="420" spans="1:10">
      <c r="A420" s="58">
        <v>419</v>
      </c>
      <c r="B420" s="57">
        <v>18419</v>
      </c>
      <c r="C420" s="57" t="s">
        <v>970</v>
      </c>
      <c r="D420" s="57" t="s">
        <v>971</v>
      </c>
      <c r="E420" s="57" t="s">
        <v>32</v>
      </c>
      <c r="F420" s="60" t="s">
        <v>390</v>
      </c>
      <c r="G420" s="68">
        <v>45524</v>
      </c>
      <c r="H420" s="57">
        <v>7500</v>
      </c>
      <c r="I420" s="61">
        <v>7500</v>
      </c>
      <c r="J420" s="69" t="s">
        <v>35</v>
      </c>
    </row>
    <row r="421" spans="1:10">
      <c r="A421" s="58">
        <v>420</v>
      </c>
      <c r="B421" s="57">
        <v>18420</v>
      </c>
      <c r="C421" s="57" t="s">
        <v>972</v>
      </c>
      <c r="D421" s="57" t="s">
        <v>973</v>
      </c>
      <c r="E421" s="57" t="s">
        <v>32</v>
      </c>
      <c r="F421" s="60" t="s">
        <v>390</v>
      </c>
      <c r="G421" s="68">
        <v>45524</v>
      </c>
      <c r="H421" s="57">
        <v>7500</v>
      </c>
      <c r="I421" s="61">
        <v>6900</v>
      </c>
      <c r="J421" s="69" t="s">
        <v>88</v>
      </c>
    </row>
    <row r="422" spans="1:10">
      <c r="A422" s="58">
        <v>421</v>
      </c>
      <c r="B422" s="57">
        <v>18421</v>
      </c>
      <c r="C422" s="57" t="s">
        <v>974</v>
      </c>
      <c r="D422" s="57" t="s">
        <v>804</v>
      </c>
      <c r="E422" s="57" t="s">
        <v>32</v>
      </c>
      <c r="F422" s="60" t="s">
        <v>390</v>
      </c>
      <c r="G422" s="68">
        <v>45525</v>
      </c>
      <c r="H422" s="57">
        <v>7500</v>
      </c>
      <c r="I422" s="61">
        <v>7500</v>
      </c>
      <c r="J422" s="69" t="s">
        <v>295</v>
      </c>
    </row>
    <row r="423" spans="1:10">
      <c r="A423" s="58">
        <v>422</v>
      </c>
      <c r="B423" s="57">
        <v>18422</v>
      </c>
      <c r="C423" s="57" t="s">
        <v>975</v>
      </c>
      <c r="D423" s="57" t="s">
        <v>305</v>
      </c>
      <c r="E423" s="57" t="s">
        <v>32</v>
      </c>
      <c r="F423" s="60" t="s">
        <v>390</v>
      </c>
      <c r="G423" s="68">
        <v>45525</v>
      </c>
      <c r="H423" s="57">
        <v>7500</v>
      </c>
      <c r="I423" s="61">
        <v>7100</v>
      </c>
      <c r="J423" s="69" t="s">
        <v>297</v>
      </c>
    </row>
    <row r="424" spans="1:10">
      <c r="A424" s="58">
        <v>423</v>
      </c>
      <c r="B424" s="57">
        <v>18423</v>
      </c>
      <c r="C424" s="57" t="s">
        <v>976</v>
      </c>
      <c r="D424" s="57" t="s">
        <v>884</v>
      </c>
      <c r="E424" s="57" t="s">
        <v>32</v>
      </c>
      <c r="F424" s="60" t="s">
        <v>390</v>
      </c>
      <c r="G424" s="68">
        <v>45525</v>
      </c>
      <c r="H424" s="57">
        <v>7500</v>
      </c>
      <c r="I424" s="61">
        <v>7500</v>
      </c>
      <c r="J424" s="69" t="s">
        <v>39</v>
      </c>
    </row>
    <row r="425" spans="1:10">
      <c r="A425" s="58">
        <v>424</v>
      </c>
      <c r="B425" s="57">
        <v>18424</v>
      </c>
      <c r="C425" s="57" t="s">
        <v>977</v>
      </c>
      <c r="D425" s="57" t="s">
        <v>978</v>
      </c>
      <c r="E425" s="57" t="s">
        <v>54</v>
      </c>
      <c r="F425" s="60" t="s">
        <v>390</v>
      </c>
      <c r="G425" s="68">
        <v>45526</v>
      </c>
      <c r="H425" s="57">
        <v>7500</v>
      </c>
      <c r="I425" s="61">
        <v>7100</v>
      </c>
      <c r="J425" s="69" t="s">
        <v>299</v>
      </c>
    </row>
    <row r="426" spans="1:10">
      <c r="A426" s="58">
        <v>425</v>
      </c>
      <c r="B426" s="57">
        <v>18425</v>
      </c>
      <c r="C426" s="57" t="s">
        <v>979</v>
      </c>
      <c r="D426" s="57" t="s">
        <v>980</v>
      </c>
      <c r="E426" s="57" t="s">
        <v>54</v>
      </c>
      <c r="F426" s="60" t="s">
        <v>390</v>
      </c>
      <c r="G426" s="68">
        <v>45526</v>
      </c>
      <c r="H426" s="57">
        <v>7500</v>
      </c>
      <c r="I426" s="61">
        <v>6900</v>
      </c>
      <c r="J426" s="69" t="s">
        <v>300</v>
      </c>
    </row>
    <row r="427" spans="1:10">
      <c r="A427" s="58">
        <v>426</v>
      </c>
      <c r="B427" s="57">
        <v>18426</v>
      </c>
      <c r="C427" s="57" t="s">
        <v>981</v>
      </c>
      <c r="D427" s="57" t="s">
        <v>496</v>
      </c>
      <c r="E427" s="57" t="s">
        <v>54</v>
      </c>
      <c r="F427" s="60" t="s">
        <v>390</v>
      </c>
      <c r="G427" s="68">
        <v>45526</v>
      </c>
      <c r="H427" s="57">
        <v>7500</v>
      </c>
      <c r="I427" s="61">
        <v>6900</v>
      </c>
      <c r="J427" s="69" t="s">
        <v>302</v>
      </c>
    </row>
    <row r="428" spans="1:10">
      <c r="A428" s="58">
        <v>427</v>
      </c>
      <c r="B428" s="57">
        <v>18427</v>
      </c>
      <c r="C428" s="57" t="s">
        <v>982</v>
      </c>
      <c r="D428" s="57" t="s">
        <v>983</v>
      </c>
      <c r="E428" s="57" t="s">
        <v>32</v>
      </c>
      <c r="F428" s="60" t="s">
        <v>390</v>
      </c>
      <c r="G428" s="68">
        <v>45527</v>
      </c>
      <c r="H428" s="57">
        <v>7500</v>
      </c>
      <c r="I428" s="61">
        <v>7500</v>
      </c>
      <c r="J428" s="69" t="s">
        <v>304</v>
      </c>
    </row>
    <row r="429" spans="1:10">
      <c r="A429" s="58">
        <v>428</v>
      </c>
      <c r="B429" s="57">
        <v>18428</v>
      </c>
      <c r="C429" s="57" t="s">
        <v>984</v>
      </c>
      <c r="D429" s="57" t="s">
        <v>985</v>
      </c>
      <c r="E429" s="57" t="s">
        <v>32</v>
      </c>
      <c r="F429" s="60" t="s">
        <v>390</v>
      </c>
      <c r="G429" s="68">
        <v>45527</v>
      </c>
      <c r="H429" s="57">
        <v>7500</v>
      </c>
      <c r="I429" s="61">
        <v>7500</v>
      </c>
      <c r="J429" s="69" t="s">
        <v>306</v>
      </c>
    </row>
    <row r="430" spans="1:10">
      <c r="A430" s="58">
        <v>429</v>
      </c>
      <c r="B430" s="57">
        <v>18429</v>
      </c>
      <c r="C430" s="57" t="s">
        <v>986</v>
      </c>
      <c r="D430" s="62" t="s">
        <v>987</v>
      </c>
      <c r="E430" s="57" t="s">
        <v>32</v>
      </c>
      <c r="F430" s="60" t="s">
        <v>390</v>
      </c>
      <c r="G430" s="68">
        <v>45527</v>
      </c>
      <c r="H430" s="57">
        <v>7500</v>
      </c>
      <c r="I430" s="61">
        <v>7500</v>
      </c>
      <c r="J430" s="69" t="s">
        <v>39</v>
      </c>
    </row>
    <row r="431" spans="1:10">
      <c r="A431" s="58">
        <v>430</v>
      </c>
      <c r="B431" s="57">
        <v>18430</v>
      </c>
      <c r="C431" s="57" t="s">
        <v>988</v>
      </c>
      <c r="D431" s="57" t="s">
        <v>365</v>
      </c>
      <c r="E431" s="57" t="s">
        <v>32</v>
      </c>
      <c r="F431" s="60" t="s">
        <v>390</v>
      </c>
      <c r="G431" s="68">
        <v>45528</v>
      </c>
      <c r="H431" s="57">
        <v>7500</v>
      </c>
      <c r="I431" s="61">
        <v>6900</v>
      </c>
      <c r="J431" s="69" t="s">
        <v>299</v>
      </c>
    </row>
    <row r="432" spans="1:10">
      <c r="A432" s="58">
        <v>431</v>
      </c>
      <c r="B432" s="57">
        <v>18431</v>
      </c>
      <c r="C432" s="57" t="s">
        <v>989</v>
      </c>
      <c r="D432" s="57" t="s">
        <v>981</v>
      </c>
      <c r="E432" s="57" t="s">
        <v>54</v>
      </c>
      <c r="F432" s="60" t="s">
        <v>390</v>
      </c>
      <c r="G432" s="68">
        <v>45528</v>
      </c>
      <c r="H432" s="57">
        <v>7500</v>
      </c>
      <c r="I432" s="61">
        <v>800</v>
      </c>
      <c r="J432" s="69" t="s">
        <v>35</v>
      </c>
    </row>
    <row r="433" spans="1:10">
      <c r="A433" s="58">
        <v>432</v>
      </c>
      <c r="B433" s="57">
        <v>18432</v>
      </c>
      <c r="C433" s="57" t="s">
        <v>990</v>
      </c>
      <c r="D433" s="57" t="s">
        <v>991</v>
      </c>
      <c r="E433" s="57" t="s">
        <v>32</v>
      </c>
      <c r="F433" s="60" t="s">
        <v>390</v>
      </c>
      <c r="G433" s="68">
        <v>45528</v>
      </c>
      <c r="H433" s="57">
        <v>7500</v>
      </c>
      <c r="I433" s="61">
        <v>6900</v>
      </c>
      <c r="J433" s="69" t="s">
        <v>310</v>
      </c>
    </row>
    <row r="434" spans="1:10">
      <c r="A434" s="58">
        <v>433</v>
      </c>
      <c r="B434" s="57">
        <v>18433</v>
      </c>
      <c r="C434" s="57" t="s">
        <v>992</v>
      </c>
      <c r="D434" s="57" t="s">
        <v>993</v>
      </c>
      <c r="E434" s="57" t="s">
        <v>32</v>
      </c>
      <c r="F434" s="60" t="s">
        <v>390</v>
      </c>
      <c r="G434" s="68">
        <v>45530</v>
      </c>
      <c r="H434" s="57">
        <v>7500</v>
      </c>
      <c r="I434" s="61">
        <v>7100</v>
      </c>
      <c r="J434" s="69" t="s">
        <v>70</v>
      </c>
    </row>
    <row r="435" spans="1:10">
      <c r="A435" s="58">
        <v>434</v>
      </c>
      <c r="B435" s="57">
        <v>18434</v>
      </c>
      <c r="C435" s="57" t="s">
        <v>994</v>
      </c>
      <c r="D435" s="57" t="s">
        <v>995</v>
      </c>
      <c r="E435" s="57" t="s">
        <v>54</v>
      </c>
      <c r="F435" s="60" t="s">
        <v>390</v>
      </c>
      <c r="G435" s="68">
        <v>45530</v>
      </c>
      <c r="H435" s="57">
        <v>7500</v>
      </c>
      <c r="I435" s="61">
        <v>7500</v>
      </c>
      <c r="J435" s="69" t="s">
        <v>75</v>
      </c>
    </row>
    <row r="436" spans="1:10">
      <c r="A436" s="58">
        <v>435</v>
      </c>
      <c r="B436" s="57">
        <v>18435</v>
      </c>
      <c r="C436" s="57" t="s">
        <v>996</v>
      </c>
      <c r="D436" s="57" t="s">
        <v>57</v>
      </c>
      <c r="E436" s="57" t="s">
        <v>54</v>
      </c>
      <c r="F436" s="60" t="s">
        <v>390</v>
      </c>
      <c r="G436" s="68">
        <v>45530</v>
      </c>
      <c r="H436" s="57">
        <v>7500</v>
      </c>
      <c r="I436" s="61">
        <v>7500</v>
      </c>
      <c r="J436" s="69" t="s">
        <v>70</v>
      </c>
    </row>
    <row r="437" spans="1:10">
      <c r="A437" s="58">
        <v>436</v>
      </c>
      <c r="B437" s="57">
        <v>18436</v>
      </c>
      <c r="C437" s="57" t="s">
        <v>439</v>
      </c>
      <c r="D437" s="57" t="s">
        <v>813</v>
      </c>
      <c r="E437" s="57" t="s">
        <v>32</v>
      </c>
      <c r="F437" s="60" t="s">
        <v>390</v>
      </c>
      <c r="G437" s="68">
        <v>45531</v>
      </c>
      <c r="H437" s="57">
        <v>7500</v>
      </c>
      <c r="I437" s="61">
        <v>7100</v>
      </c>
      <c r="J437" s="69" t="s">
        <v>75</v>
      </c>
    </row>
    <row r="438" spans="1:10">
      <c r="A438" s="58">
        <v>437</v>
      </c>
      <c r="B438" s="57">
        <v>18437</v>
      </c>
      <c r="C438" s="57" t="s">
        <v>997</v>
      </c>
      <c r="D438" s="57" t="s">
        <v>998</v>
      </c>
      <c r="E438" s="57" t="s">
        <v>32</v>
      </c>
      <c r="F438" s="60" t="s">
        <v>390</v>
      </c>
      <c r="G438" s="68">
        <v>45531</v>
      </c>
      <c r="H438" s="57">
        <v>7500</v>
      </c>
      <c r="I438" s="61">
        <v>6900</v>
      </c>
      <c r="J438" s="69" t="s">
        <v>75</v>
      </c>
    </row>
    <row r="439" spans="1:10">
      <c r="A439" s="58">
        <v>438</v>
      </c>
      <c r="B439" s="57">
        <v>18438</v>
      </c>
      <c r="C439" s="57" t="s">
        <v>999</v>
      </c>
      <c r="D439" s="58" t="s">
        <v>1000</v>
      </c>
      <c r="E439" s="57" t="s">
        <v>32</v>
      </c>
      <c r="F439" s="60" t="s">
        <v>390</v>
      </c>
      <c r="G439" s="68">
        <v>45531</v>
      </c>
      <c r="H439" s="57">
        <v>7500</v>
      </c>
      <c r="I439" s="61">
        <v>6900</v>
      </c>
      <c r="J439" s="69" t="s">
        <v>70</v>
      </c>
    </row>
    <row r="440" spans="1:10">
      <c r="A440" s="58">
        <v>439</v>
      </c>
      <c r="B440" s="57">
        <v>18439</v>
      </c>
      <c r="C440" s="57" t="s">
        <v>1001</v>
      </c>
      <c r="D440" s="57" t="s">
        <v>429</v>
      </c>
      <c r="E440" s="57" t="s">
        <v>54</v>
      </c>
      <c r="F440" s="60" t="s">
        <v>390</v>
      </c>
      <c r="G440" s="68">
        <v>45532</v>
      </c>
      <c r="H440" s="57">
        <v>7500</v>
      </c>
      <c r="I440" s="61">
        <v>7500</v>
      </c>
      <c r="J440" s="69" t="s">
        <v>88</v>
      </c>
    </row>
    <row r="441" spans="1:10">
      <c r="A441" s="58">
        <v>440</v>
      </c>
      <c r="B441" s="57">
        <v>18440</v>
      </c>
      <c r="C441" s="57" t="s">
        <v>1002</v>
      </c>
      <c r="D441" s="57" t="s">
        <v>1003</v>
      </c>
      <c r="E441" s="57" t="s">
        <v>32</v>
      </c>
      <c r="F441" s="60" t="s">
        <v>390</v>
      </c>
      <c r="G441" s="68">
        <v>45532</v>
      </c>
      <c r="H441" s="57">
        <v>7500</v>
      </c>
      <c r="I441" s="61">
        <v>7500</v>
      </c>
      <c r="J441" s="69" t="s">
        <v>314</v>
      </c>
    </row>
    <row r="442" spans="1:10">
      <c r="A442" s="58">
        <v>441</v>
      </c>
      <c r="B442" s="57">
        <v>18441</v>
      </c>
      <c r="C442" s="57" t="s">
        <v>1004</v>
      </c>
      <c r="D442" s="57" t="s">
        <v>1005</v>
      </c>
      <c r="E442" s="57" t="s">
        <v>54</v>
      </c>
      <c r="F442" s="60" t="s">
        <v>390</v>
      </c>
      <c r="G442" s="68">
        <v>45532</v>
      </c>
      <c r="H442" s="57">
        <v>7500</v>
      </c>
      <c r="I442" s="61">
        <v>7500</v>
      </c>
      <c r="J442" s="69" t="s">
        <v>39</v>
      </c>
    </row>
    <row r="443" spans="1:10">
      <c r="A443" s="58">
        <v>442</v>
      </c>
      <c r="B443" s="57">
        <v>18442</v>
      </c>
      <c r="C443" s="57" t="s">
        <v>1006</v>
      </c>
      <c r="D443" s="57" t="s">
        <v>1007</v>
      </c>
      <c r="E443" s="57" t="s">
        <v>54</v>
      </c>
      <c r="F443" s="60" t="s">
        <v>390</v>
      </c>
      <c r="G443" s="68">
        <v>45533</v>
      </c>
      <c r="H443" s="57">
        <v>7500</v>
      </c>
      <c r="I443" s="61">
        <v>6900</v>
      </c>
      <c r="J443" s="69" t="s">
        <v>299</v>
      </c>
    </row>
    <row r="444" spans="1:10">
      <c r="A444" s="58">
        <v>443</v>
      </c>
      <c r="B444" s="57">
        <v>18443</v>
      </c>
      <c r="C444" s="57" t="s">
        <v>1008</v>
      </c>
      <c r="D444" s="57" t="s">
        <v>1009</v>
      </c>
      <c r="E444" s="57" t="s">
        <v>32</v>
      </c>
      <c r="F444" s="60" t="s">
        <v>390</v>
      </c>
      <c r="G444" s="68">
        <v>45533</v>
      </c>
      <c r="H444" s="57">
        <v>7500</v>
      </c>
      <c r="I444" s="61">
        <v>6900</v>
      </c>
      <c r="J444" s="69" t="s">
        <v>299</v>
      </c>
    </row>
    <row r="445" spans="1:10">
      <c r="A445" s="58">
        <v>444</v>
      </c>
      <c r="B445" s="57">
        <v>18444</v>
      </c>
      <c r="C445" s="57" t="s">
        <v>1010</v>
      </c>
      <c r="D445" s="57" t="s">
        <v>1011</v>
      </c>
      <c r="E445" s="57" t="s">
        <v>32</v>
      </c>
      <c r="F445" s="60" t="s">
        <v>390</v>
      </c>
      <c r="G445" s="68">
        <v>45533</v>
      </c>
      <c r="H445" s="57">
        <v>7500</v>
      </c>
      <c r="I445" s="61">
        <v>7500</v>
      </c>
      <c r="J445" s="69" t="s">
        <v>322</v>
      </c>
    </row>
    <row r="446" spans="1:10">
      <c r="A446" s="58">
        <v>445</v>
      </c>
      <c r="B446" s="57">
        <v>18445</v>
      </c>
      <c r="C446" s="57" t="s">
        <v>1012</v>
      </c>
      <c r="D446" s="57" t="s">
        <v>1013</v>
      </c>
      <c r="E446" s="57" t="s">
        <v>32</v>
      </c>
      <c r="F446" s="60" t="s">
        <v>390</v>
      </c>
      <c r="G446" s="68">
        <v>45534</v>
      </c>
      <c r="H446" s="57">
        <v>7500</v>
      </c>
      <c r="I446" s="61">
        <v>7500</v>
      </c>
      <c r="J446" s="69" t="s">
        <v>325</v>
      </c>
    </row>
    <row r="447" spans="1:10">
      <c r="A447" s="58">
        <v>446</v>
      </c>
      <c r="B447" s="57">
        <v>18446</v>
      </c>
      <c r="C447" s="57" t="s">
        <v>1014</v>
      </c>
      <c r="D447" s="57" t="s">
        <v>1015</v>
      </c>
      <c r="E447" s="57" t="s">
        <v>32</v>
      </c>
      <c r="F447" s="60" t="s">
        <v>390</v>
      </c>
      <c r="G447" s="68">
        <v>45534</v>
      </c>
      <c r="H447" s="57">
        <v>7500</v>
      </c>
      <c r="I447" s="61">
        <v>7100</v>
      </c>
      <c r="J447" s="69" t="s">
        <v>295</v>
      </c>
    </row>
    <row r="448" spans="1:10">
      <c r="A448" s="58">
        <v>447</v>
      </c>
      <c r="B448" s="57">
        <v>18447</v>
      </c>
      <c r="C448" s="57" t="s">
        <v>1016</v>
      </c>
      <c r="D448" s="57" t="s">
        <v>812</v>
      </c>
      <c r="E448" s="57" t="s">
        <v>32</v>
      </c>
      <c r="F448" s="60" t="s">
        <v>390</v>
      </c>
      <c r="G448" s="68">
        <v>45534</v>
      </c>
      <c r="H448" s="57">
        <v>7500</v>
      </c>
      <c r="I448" s="61">
        <v>700</v>
      </c>
      <c r="J448" s="69" t="s">
        <v>314</v>
      </c>
    </row>
    <row r="449" spans="1:10">
      <c r="A449" s="58">
        <v>448</v>
      </c>
      <c r="B449" s="57">
        <v>18448</v>
      </c>
      <c r="C449" s="57" t="s">
        <v>1017</v>
      </c>
      <c r="D449" s="57" t="s">
        <v>1018</v>
      </c>
      <c r="E449" s="57" t="s">
        <v>54</v>
      </c>
      <c r="F449" s="60" t="s">
        <v>390</v>
      </c>
      <c r="G449" s="68">
        <v>45535</v>
      </c>
      <c r="H449" s="57">
        <v>7500</v>
      </c>
      <c r="I449" s="61">
        <v>6900</v>
      </c>
      <c r="J449" s="69" t="s">
        <v>314</v>
      </c>
    </row>
    <row r="450" spans="1:10">
      <c r="A450" s="58">
        <v>449</v>
      </c>
      <c r="B450" s="57">
        <v>18449</v>
      </c>
      <c r="C450" s="57" t="s">
        <v>1019</v>
      </c>
      <c r="D450" s="57" t="s">
        <v>1020</v>
      </c>
      <c r="E450" s="57" t="s">
        <v>54</v>
      </c>
      <c r="F450" s="60" t="s">
        <v>390</v>
      </c>
      <c r="G450" s="68">
        <v>45535</v>
      </c>
      <c r="H450" s="57">
        <v>7500</v>
      </c>
      <c r="I450" s="61">
        <v>7100</v>
      </c>
      <c r="J450" s="69" t="s">
        <v>302</v>
      </c>
    </row>
    <row r="451" spans="1:10">
      <c r="A451" s="58">
        <v>450</v>
      </c>
      <c r="B451" s="57">
        <v>18450</v>
      </c>
      <c r="C451" s="57" t="s">
        <v>1021</v>
      </c>
      <c r="D451" s="57" t="s">
        <v>1022</v>
      </c>
      <c r="E451" s="57" t="s">
        <v>54</v>
      </c>
      <c r="F451" s="60" t="s">
        <v>390</v>
      </c>
      <c r="G451" s="68">
        <v>45535</v>
      </c>
      <c r="H451" s="57">
        <v>7500</v>
      </c>
      <c r="I451" s="61">
        <v>6900</v>
      </c>
      <c r="J451" s="69" t="s">
        <v>302</v>
      </c>
    </row>
    <row r="452" spans="1:10">
      <c r="A452" s="58">
        <v>451</v>
      </c>
      <c r="B452" s="57">
        <v>18451</v>
      </c>
      <c r="C452" s="57" t="s">
        <v>1023</v>
      </c>
      <c r="D452" s="57" t="s">
        <v>1024</v>
      </c>
      <c r="E452" s="57" t="s">
        <v>32</v>
      </c>
      <c r="F452" s="60" t="s">
        <v>390</v>
      </c>
      <c r="G452" s="68">
        <v>45537</v>
      </c>
      <c r="H452" s="57">
        <v>7500</v>
      </c>
      <c r="I452" s="61">
        <v>7500</v>
      </c>
      <c r="J452" s="69" t="s">
        <v>337</v>
      </c>
    </row>
    <row r="453" spans="1:10">
      <c r="A453" s="58">
        <v>452</v>
      </c>
      <c r="B453" s="57">
        <v>18452</v>
      </c>
      <c r="C453" s="57" t="s">
        <v>1025</v>
      </c>
      <c r="D453" s="57" t="s">
        <v>1026</v>
      </c>
      <c r="E453" s="57" t="s">
        <v>32</v>
      </c>
      <c r="F453" s="60" t="s">
        <v>390</v>
      </c>
      <c r="G453" s="68">
        <v>45537</v>
      </c>
      <c r="H453" s="57">
        <v>7500</v>
      </c>
      <c r="I453" s="61">
        <v>7500</v>
      </c>
      <c r="J453" s="69" t="s">
        <v>35</v>
      </c>
    </row>
    <row r="454" spans="1:10">
      <c r="A454" s="58">
        <v>453</v>
      </c>
      <c r="B454" s="57">
        <v>18453</v>
      </c>
      <c r="C454" s="57" t="s">
        <v>1027</v>
      </c>
      <c r="D454" s="57" t="s">
        <v>822</v>
      </c>
      <c r="E454" s="57" t="s">
        <v>32</v>
      </c>
      <c r="F454" s="60" t="s">
        <v>390</v>
      </c>
      <c r="G454" s="68">
        <v>45537</v>
      </c>
      <c r="H454" s="57">
        <v>7500</v>
      </c>
      <c r="I454" s="61">
        <v>7500</v>
      </c>
      <c r="J454" s="69" t="s">
        <v>88</v>
      </c>
    </row>
    <row r="455" spans="1:10">
      <c r="A455" s="58">
        <v>454</v>
      </c>
      <c r="B455" s="57">
        <v>18454</v>
      </c>
      <c r="C455" s="57" t="s">
        <v>1028</v>
      </c>
      <c r="D455" s="57" t="s">
        <v>1029</v>
      </c>
      <c r="E455" s="57" t="s">
        <v>32</v>
      </c>
      <c r="F455" s="60" t="s">
        <v>390</v>
      </c>
      <c r="G455" s="68">
        <v>45538</v>
      </c>
      <c r="H455" s="57">
        <v>7500</v>
      </c>
      <c r="I455" s="61">
        <v>6900</v>
      </c>
      <c r="J455" s="69" t="s">
        <v>295</v>
      </c>
    </row>
    <row r="456" spans="1:10">
      <c r="A456" s="58">
        <v>455</v>
      </c>
      <c r="B456" s="57">
        <v>18455</v>
      </c>
      <c r="C456" s="57" t="s">
        <v>1030</v>
      </c>
      <c r="D456" s="57" t="s">
        <v>1031</v>
      </c>
      <c r="E456" s="57" t="s">
        <v>54</v>
      </c>
      <c r="F456" s="60" t="s">
        <v>390</v>
      </c>
      <c r="G456" s="68">
        <v>45538</v>
      </c>
      <c r="H456" s="57">
        <v>7500</v>
      </c>
      <c r="I456" s="61">
        <v>7500</v>
      </c>
      <c r="J456" s="69" t="s">
        <v>297</v>
      </c>
    </row>
    <row r="457" spans="1:10">
      <c r="A457" s="58">
        <v>456</v>
      </c>
      <c r="B457" s="57">
        <v>18456</v>
      </c>
      <c r="C457" s="57" t="s">
        <v>1032</v>
      </c>
      <c r="D457" s="57" t="s">
        <v>660</v>
      </c>
      <c r="E457" s="57" t="s">
        <v>32</v>
      </c>
      <c r="F457" s="60" t="s">
        <v>390</v>
      </c>
      <c r="G457" s="68">
        <v>45538</v>
      </c>
      <c r="H457" s="57">
        <v>7500</v>
      </c>
      <c r="I457" s="61">
        <v>6900</v>
      </c>
      <c r="J457" s="69" t="s">
        <v>39</v>
      </c>
    </row>
    <row r="458" spans="1:10">
      <c r="A458" s="58">
        <v>457</v>
      </c>
      <c r="B458" s="57">
        <v>18457</v>
      </c>
      <c r="C458" s="57" t="s">
        <v>1033</v>
      </c>
      <c r="D458" s="57" t="s">
        <v>1034</v>
      </c>
      <c r="E458" s="57" t="s">
        <v>54</v>
      </c>
      <c r="F458" s="60" t="s">
        <v>390</v>
      </c>
      <c r="G458" s="68">
        <v>45539</v>
      </c>
      <c r="H458" s="57">
        <v>7500</v>
      </c>
      <c r="I458" s="61">
        <v>7500</v>
      </c>
      <c r="J458" s="69" t="s">
        <v>299</v>
      </c>
    </row>
    <row r="459" spans="1:10">
      <c r="A459" s="58">
        <v>458</v>
      </c>
      <c r="B459" s="57">
        <v>18458</v>
      </c>
      <c r="C459" s="57" t="s">
        <v>1035</v>
      </c>
      <c r="D459" s="57" t="s">
        <v>752</v>
      </c>
      <c r="E459" s="57" t="s">
        <v>54</v>
      </c>
      <c r="F459" s="60" t="s">
        <v>390</v>
      </c>
      <c r="G459" s="68">
        <v>45539</v>
      </c>
      <c r="H459" s="57">
        <v>7500</v>
      </c>
      <c r="I459" s="61">
        <v>7500</v>
      </c>
      <c r="J459" s="69" t="s">
        <v>300</v>
      </c>
    </row>
    <row r="460" spans="1:10">
      <c r="A460" s="58">
        <v>459</v>
      </c>
      <c r="B460" s="57">
        <v>18459</v>
      </c>
      <c r="C460" s="57" t="s">
        <v>1036</v>
      </c>
      <c r="D460" s="57" t="s">
        <v>1011</v>
      </c>
      <c r="E460" s="57" t="s">
        <v>32</v>
      </c>
      <c r="F460" s="60" t="s">
        <v>390</v>
      </c>
      <c r="G460" s="68">
        <v>45539</v>
      </c>
      <c r="H460" s="57">
        <v>7500</v>
      </c>
      <c r="I460" s="61">
        <v>7100</v>
      </c>
      <c r="J460" s="69" t="s">
        <v>302</v>
      </c>
    </row>
    <row r="461" spans="1:10">
      <c r="A461" s="58">
        <v>460</v>
      </c>
      <c r="B461" s="57">
        <v>18460</v>
      </c>
      <c r="C461" s="57" t="s">
        <v>1037</v>
      </c>
      <c r="D461" s="57" t="s">
        <v>455</v>
      </c>
      <c r="E461" s="57" t="s">
        <v>32</v>
      </c>
      <c r="F461" s="60" t="s">
        <v>390</v>
      </c>
      <c r="G461" s="68">
        <v>45540</v>
      </c>
      <c r="H461" s="57">
        <v>7500</v>
      </c>
      <c r="I461" s="61">
        <v>6900</v>
      </c>
      <c r="J461" s="69" t="s">
        <v>304</v>
      </c>
    </row>
    <row r="462" spans="1:10">
      <c r="A462" s="58">
        <v>461</v>
      </c>
      <c r="B462" s="57">
        <v>18461</v>
      </c>
      <c r="C462" s="57" t="s">
        <v>1038</v>
      </c>
      <c r="D462" s="57" t="s">
        <v>703</v>
      </c>
      <c r="E462" s="57" t="s">
        <v>32</v>
      </c>
      <c r="F462" s="60" t="s">
        <v>390</v>
      </c>
      <c r="G462" s="68">
        <v>45540</v>
      </c>
      <c r="H462" s="57">
        <v>7500</v>
      </c>
      <c r="I462" s="61">
        <v>6900</v>
      </c>
      <c r="J462" s="69" t="s">
        <v>306</v>
      </c>
    </row>
    <row r="463" spans="1:10">
      <c r="A463" s="58">
        <v>462</v>
      </c>
      <c r="B463" s="57">
        <v>18462</v>
      </c>
      <c r="C463" s="57" t="s">
        <v>1039</v>
      </c>
      <c r="D463" s="57" t="s">
        <v>505</v>
      </c>
      <c r="E463" s="57" t="s">
        <v>32</v>
      </c>
      <c r="F463" s="60" t="s">
        <v>390</v>
      </c>
      <c r="G463" s="68">
        <v>45540</v>
      </c>
      <c r="H463" s="57">
        <v>7500</v>
      </c>
      <c r="I463" s="61">
        <v>7100</v>
      </c>
      <c r="J463" s="69" t="s">
        <v>39</v>
      </c>
    </row>
    <row r="464" spans="1:10">
      <c r="A464" s="58">
        <v>463</v>
      </c>
      <c r="B464" s="57">
        <v>18463</v>
      </c>
      <c r="C464" s="57" t="s">
        <v>1040</v>
      </c>
      <c r="D464" s="57" t="s">
        <v>377</v>
      </c>
      <c r="E464" s="57" t="s">
        <v>54</v>
      </c>
      <c r="F464" s="60" t="s">
        <v>390</v>
      </c>
      <c r="G464" s="68">
        <v>45541</v>
      </c>
      <c r="H464" s="57">
        <v>7500</v>
      </c>
      <c r="I464" s="61">
        <v>7500</v>
      </c>
      <c r="J464" s="69" t="s">
        <v>299</v>
      </c>
    </row>
    <row r="465" spans="1:10">
      <c r="A465" s="58">
        <v>464</v>
      </c>
      <c r="B465" s="57">
        <v>18464</v>
      </c>
      <c r="C465" s="57" t="s">
        <v>1041</v>
      </c>
      <c r="D465" s="57" t="s">
        <v>1042</v>
      </c>
      <c r="E465" s="57" t="s">
        <v>32</v>
      </c>
      <c r="F465" s="60" t="s">
        <v>390</v>
      </c>
      <c r="G465" s="68">
        <v>45541</v>
      </c>
      <c r="H465" s="57">
        <v>7500</v>
      </c>
      <c r="I465" s="61">
        <v>7500</v>
      </c>
      <c r="J465" s="69" t="s">
        <v>35</v>
      </c>
    </row>
    <row r="466" spans="1:10">
      <c r="A466" s="58">
        <v>465</v>
      </c>
      <c r="B466" s="57">
        <v>18465</v>
      </c>
      <c r="C466" s="57" t="s">
        <v>1043</v>
      </c>
      <c r="D466" s="58" t="s">
        <v>788</v>
      </c>
      <c r="E466" s="57" t="s">
        <v>54</v>
      </c>
      <c r="F466" s="60" t="s">
        <v>390</v>
      </c>
      <c r="G466" s="68">
        <v>45541</v>
      </c>
      <c r="H466" s="57">
        <v>7500</v>
      </c>
      <c r="I466" s="61">
        <v>7500</v>
      </c>
      <c r="J466" s="69" t="s">
        <v>310</v>
      </c>
    </row>
    <row r="467" spans="1:10">
      <c r="A467" s="58">
        <v>466</v>
      </c>
      <c r="B467" s="57">
        <v>18466</v>
      </c>
      <c r="C467" s="57" t="s">
        <v>1044</v>
      </c>
      <c r="D467" s="57" t="s">
        <v>1045</v>
      </c>
      <c r="E467" s="57" t="s">
        <v>32</v>
      </c>
      <c r="F467" s="60" t="s">
        <v>330</v>
      </c>
      <c r="G467" s="68">
        <v>45544</v>
      </c>
      <c r="H467" s="57">
        <v>3200</v>
      </c>
      <c r="I467" s="61">
        <v>2800</v>
      </c>
      <c r="J467" s="69" t="s">
        <v>70</v>
      </c>
    </row>
    <row r="468" spans="1:10">
      <c r="A468" s="58">
        <v>467</v>
      </c>
      <c r="B468" s="57">
        <v>18467</v>
      </c>
      <c r="C468" s="57" t="s">
        <v>416</v>
      </c>
      <c r="D468" s="57" t="s">
        <v>1046</v>
      </c>
      <c r="E468" s="57" t="s">
        <v>32</v>
      </c>
      <c r="F468" s="60" t="s">
        <v>294</v>
      </c>
      <c r="G468" s="68">
        <v>45546</v>
      </c>
      <c r="H468" s="57">
        <v>4400</v>
      </c>
      <c r="I468" s="61">
        <v>4400</v>
      </c>
      <c r="J468" s="69" t="s">
        <v>75</v>
      </c>
    </row>
    <row r="469" spans="1:10">
      <c r="A469" s="58">
        <v>468</v>
      </c>
      <c r="B469" s="57">
        <v>18468</v>
      </c>
      <c r="C469" s="57" t="s">
        <v>1047</v>
      </c>
      <c r="D469" s="57" t="s">
        <v>434</v>
      </c>
      <c r="E469" s="57" t="s">
        <v>32</v>
      </c>
      <c r="F469" s="60" t="s">
        <v>294</v>
      </c>
      <c r="G469" s="68">
        <v>45575</v>
      </c>
      <c r="H469" s="57">
        <v>4400</v>
      </c>
      <c r="I469" s="61">
        <v>400</v>
      </c>
      <c r="J469" s="69" t="s">
        <v>70</v>
      </c>
    </row>
    <row r="470" spans="1:10">
      <c r="A470" s="58">
        <v>469</v>
      </c>
      <c r="B470" s="57">
        <v>18469</v>
      </c>
      <c r="C470" s="57" t="s">
        <v>1048</v>
      </c>
      <c r="D470" s="57" t="s">
        <v>1049</v>
      </c>
      <c r="E470" s="57" t="s">
        <v>54</v>
      </c>
      <c r="F470" s="58" t="s">
        <v>73</v>
      </c>
      <c r="G470" s="68">
        <v>45575</v>
      </c>
      <c r="H470" s="57">
        <v>5500</v>
      </c>
      <c r="I470" s="61">
        <v>4900</v>
      </c>
      <c r="J470" s="69" t="s">
        <v>75</v>
      </c>
    </row>
    <row r="471" spans="1:10">
      <c r="A471" s="58">
        <v>470</v>
      </c>
      <c r="B471" s="57">
        <v>18470</v>
      </c>
      <c r="C471" s="63" t="s">
        <v>1050</v>
      </c>
      <c r="D471" s="58" t="s">
        <v>1051</v>
      </c>
      <c r="E471" s="57" t="s">
        <v>32</v>
      </c>
      <c r="F471" s="60" t="s">
        <v>294</v>
      </c>
      <c r="G471" s="68">
        <v>45575</v>
      </c>
      <c r="H471" s="57">
        <v>4400</v>
      </c>
      <c r="I471" s="61">
        <v>4400</v>
      </c>
      <c r="J471" s="69" t="s">
        <v>75</v>
      </c>
    </row>
    <row r="472" spans="1:10">
      <c r="A472" s="58">
        <v>471</v>
      </c>
      <c r="B472" s="57">
        <v>18471</v>
      </c>
      <c r="C472" s="57" t="s">
        <v>1052</v>
      </c>
      <c r="D472" s="57" t="s">
        <v>363</v>
      </c>
      <c r="E472" s="57" t="s">
        <v>54</v>
      </c>
      <c r="F472" s="65" t="s">
        <v>294</v>
      </c>
      <c r="G472" s="68">
        <v>45576</v>
      </c>
      <c r="H472" s="57">
        <v>4400</v>
      </c>
      <c r="I472" s="61">
        <v>4400</v>
      </c>
      <c r="J472" s="69" t="s">
        <v>70</v>
      </c>
    </row>
    <row r="473" spans="1:10">
      <c r="A473" s="58">
        <v>472</v>
      </c>
      <c r="B473" s="57">
        <v>18472</v>
      </c>
      <c r="C473" s="57" t="s">
        <v>1053</v>
      </c>
      <c r="D473" s="57" t="s">
        <v>400</v>
      </c>
      <c r="E473" s="57" t="s">
        <v>32</v>
      </c>
      <c r="F473" s="65" t="s">
        <v>294</v>
      </c>
      <c r="G473" s="68">
        <v>45577</v>
      </c>
      <c r="H473" s="57">
        <v>4400</v>
      </c>
      <c r="I473" s="61">
        <v>3800</v>
      </c>
      <c r="J473" s="69" t="s">
        <v>88</v>
      </c>
    </row>
    <row r="474" spans="1:10">
      <c r="A474" s="58">
        <v>473</v>
      </c>
      <c r="B474" s="57">
        <v>18473</v>
      </c>
      <c r="C474" s="57" t="s">
        <v>1053</v>
      </c>
      <c r="D474" s="57" t="s">
        <v>1054</v>
      </c>
      <c r="E474" s="57" t="s">
        <v>32</v>
      </c>
      <c r="F474" s="64" t="s">
        <v>73</v>
      </c>
      <c r="G474" s="68">
        <v>45577</v>
      </c>
      <c r="H474" s="57">
        <v>5500</v>
      </c>
      <c r="I474" s="61">
        <v>5500</v>
      </c>
      <c r="J474" s="69" t="s">
        <v>314</v>
      </c>
    </row>
    <row r="475" spans="1:10">
      <c r="A475" s="58">
        <v>474</v>
      </c>
      <c r="B475" s="57">
        <v>18474</v>
      </c>
      <c r="C475" s="57" t="s">
        <v>1055</v>
      </c>
      <c r="D475" s="57" t="s">
        <v>936</v>
      </c>
      <c r="E475" s="57" t="s">
        <v>32</v>
      </c>
      <c r="F475" s="60" t="s">
        <v>390</v>
      </c>
      <c r="G475" s="68">
        <v>45577</v>
      </c>
      <c r="H475" s="57">
        <v>7500</v>
      </c>
      <c r="I475" s="61">
        <v>7500</v>
      </c>
      <c r="J475" s="69" t="s">
        <v>39</v>
      </c>
    </row>
    <row r="476" spans="1:10">
      <c r="A476" s="58">
        <v>475</v>
      </c>
      <c r="B476" s="57">
        <v>18475</v>
      </c>
      <c r="C476" s="58" t="s">
        <v>1056</v>
      </c>
      <c r="D476" s="57" t="s">
        <v>1057</v>
      </c>
      <c r="E476" s="57" t="s">
        <v>32</v>
      </c>
      <c r="F476" s="64" t="s">
        <v>73</v>
      </c>
      <c r="G476" s="68">
        <v>45579</v>
      </c>
      <c r="H476" s="57">
        <v>5500</v>
      </c>
      <c r="I476" s="61">
        <v>5500</v>
      </c>
      <c r="J476" s="69" t="s">
        <v>299</v>
      </c>
    </row>
    <row r="477" spans="1:10">
      <c r="A477" s="58">
        <v>476</v>
      </c>
      <c r="B477" s="57">
        <v>18476</v>
      </c>
      <c r="C477" s="63" t="s">
        <v>1058</v>
      </c>
      <c r="D477" s="57" t="s">
        <v>1059</v>
      </c>
      <c r="E477" s="57" t="s">
        <v>54</v>
      </c>
      <c r="F477" s="60" t="s">
        <v>73</v>
      </c>
      <c r="G477" s="68">
        <v>45580</v>
      </c>
      <c r="H477" s="57">
        <v>5500</v>
      </c>
      <c r="I477" s="61">
        <v>5100</v>
      </c>
      <c r="J477" s="69" t="s">
        <v>299</v>
      </c>
    </row>
    <row r="478" spans="1:10">
      <c r="A478" s="58">
        <v>477</v>
      </c>
      <c r="B478" s="57">
        <v>18477</v>
      </c>
      <c r="C478" s="63" t="s">
        <v>1060</v>
      </c>
      <c r="D478" s="57" t="s">
        <v>1061</v>
      </c>
      <c r="E478" s="57" t="s">
        <v>32</v>
      </c>
      <c r="F478" s="64" t="s">
        <v>73</v>
      </c>
      <c r="G478" s="68">
        <v>45581</v>
      </c>
      <c r="H478" s="57">
        <v>5500</v>
      </c>
      <c r="I478" s="61">
        <v>5500</v>
      </c>
      <c r="J478" s="69" t="s">
        <v>322</v>
      </c>
    </row>
    <row r="479" spans="1:10">
      <c r="A479" s="58">
        <v>478</v>
      </c>
      <c r="B479" s="57">
        <v>18478</v>
      </c>
      <c r="C479" s="63" t="s">
        <v>1060</v>
      </c>
      <c r="D479" s="57" t="s">
        <v>1062</v>
      </c>
      <c r="E479" s="57" t="s">
        <v>32</v>
      </c>
      <c r="F479" s="65" t="s">
        <v>294</v>
      </c>
      <c r="G479" s="68">
        <v>45582</v>
      </c>
      <c r="H479" s="57">
        <v>4400</v>
      </c>
      <c r="I479" s="61">
        <v>3800</v>
      </c>
      <c r="J479" s="69" t="s">
        <v>325</v>
      </c>
    </row>
    <row r="480" spans="1:10">
      <c r="A480" s="58">
        <v>479</v>
      </c>
      <c r="B480" s="57">
        <v>18479</v>
      </c>
      <c r="C480" s="63" t="s">
        <v>1063</v>
      </c>
      <c r="D480" s="58" t="s">
        <v>1064</v>
      </c>
      <c r="E480" s="57" t="s">
        <v>54</v>
      </c>
      <c r="F480" s="65" t="s">
        <v>294</v>
      </c>
      <c r="G480" s="68">
        <v>45582</v>
      </c>
      <c r="H480" s="57">
        <v>4400</v>
      </c>
      <c r="I480" s="61">
        <v>4400</v>
      </c>
      <c r="J480" s="69" t="s">
        <v>295</v>
      </c>
    </row>
    <row r="481" spans="1:10">
      <c r="A481" s="58">
        <v>480</v>
      </c>
      <c r="B481" s="57">
        <v>18480</v>
      </c>
      <c r="C481" s="63" t="s">
        <v>1065</v>
      </c>
      <c r="D481" s="57" t="s">
        <v>1066</v>
      </c>
      <c r="E481" s="57" t="s">
        <v>32</v>
      </c>
      <c r="F481" s="65" t="s">
        <v>294</v>
      </c>
      <c r="G481" s="68">
        <v>45583</v>
      </c>
      <c r="H481" s="57">
        <v>4400</v>
      </c>
      <c r="I481" s="61">
        <v>4400</v>
      </c>
      <c r="J481" s="69" t="s">
        <v>314</v>
      </c>
    </row>
    <row r="482" spans="1:10">
      <c r="A482" s="58">
        <v>481</v>
      </c>
      <c r="B482" s="57">
        <v>18481</v>
      </c>
      <c r="C482" s="66" t="s">
        <v>1067</v>
      </c>
      <c r="D482" s="57" t="s">
        <v>404</v>
      </c>
      <c r="E482" s="57" t="s">
        <v>32</v>
      </c>
      <c r="F482" s="64" t="s">
        <v>73</v>
      </c>
      <c r="G482" s="68">
        <v>45584</v>
      </c>
      <c r="H482" s="57">
        <v>5500</v>
      </c>
      <c r="I482" s="61">
        <v>5500</v>
      </c>
      <c r="J482" s="69" t="s">
        <v>314</v>
      </c>
    </row>
    <row r="483" spans="1:10">
      <c r="A483" s="58">
        <v>482</v>
      </c>
      <c r="B483" s="57">
        <v>18482</v>
      </c>
      <c r="C483" s="66" t="s">
        <v>1067</v>
      </c>
      <c r="D483" s="57" t="s">
        <v>377</v>
      </c>
      <c r="E483" s="57" t="s">
        <v>32</v>
      </c>
      <c r="F483" s="65" t="s">
        <v>294</v>
      </c>
      <c r="G483" s="68">
        <v>45584</v>
      </c>
      <c r="H483" s="57">
        <v>4400</v>
      </c>
      <c r="I483" s="61">
        <v>4400</v>
      </c>
      <c r="J483" s="69" t="s">
        <v>302</v>
      </c>
    </row>
    <row r="484" spans="1:10">
      <c r="A484" s="58">
        <v>483</v>
      </c>
      <c r="B484" s="57">
        <v>18483</v>
      </c>
      <c r="C484" s="66" t="s">
        <v>1068</v>
      </c>
      <c r="D484" s="57" t="s">
        <v>1069</v>
      </c>
      <c r="E484" s="57" t="s">
        <v>54</v>
      </c>
      <c r="F484" s="65" t="s">
        <v>294</v>
      </c>
      <c r="G484" s="68">
        <v>45586</v>
      </c>
      <c r="H484" s="57">
        <v>4400</v>
      </c>
      <c r="I484" s="61">
        <v>4000</v>
      </c>
      <c r="J484" s="69" t="s">
        <v>302</v>
      </c>
    </row>
    <row r="485" spans="1:10">
      <c r="A485" s="58">
        <v>484</v>
      </c>
      <c r="B485" s="57">
        <v>18484</v>
      </c>
      <c r="C485" s="66" t="s">
        <v>1070</v>
      </c>
      <c r="D485" s="57" t="s">
        <v>1071</v>
      </c>
      <c r="E485" s="57" t="s">
        <v>54</v>
      </c>
      <c r="F485" s="65" t="s">
        <v>294</v>
      </c>
      <c r="G485" s="68">
        <v>45586</v>
      </c>
      <c r="H485" s="57">
        <v>4400</v>
      </c>
      <c r="I485" s="61">
        <v>4000</v>
      </c>
      <c r="J485" s="69" t="s">
        <v>337</v>
      </c>
    </row>
    <row r="486" spans="1:10">
      <c r="A486" s="58">
        <v>485</v>
      </c>
      <c r="B486" s="57">
        <v>18485</v>
      </c>
      <c r="C486" s="66" t="s">
        <v>1072</v>
      </c>
      <c r="D486" s="57" t="s">
        <v>817</v>
      </c>
      <c r="E486" s="57" t="s">
        <v>54</v>
      </c>
      <c r="F486" s="65" t="s">
        <v>294</v>
      </c>
      <c r="G486" s="68">
        <v>45588</v>
      </c>
      <c r="H486" s="57">
        <v>4400</v>
      </c>
      <c r="I486" s="61">
        <v>3800</v>
      </c>
      <c r="J486" s="69" t="s">
        <v>322</v>
      </c>
    </row>
    <row r="487" spans="1:10">
      <c r="A487" s="58">
        <v>486</v>
      </c>
      <c r="B487" s="57">
        <v>18486</v>
      </c>
      <c r="C487" s="66" t="s">
        <v>1073</v>
      </c>
      <c r="D487" s="57" t="s">
        <v>46</v>
      </c>
      <c r="E487" s="57" t="s">
        <v>54</v>
      </c>
      <c r="F487" s="65" t="s">
        <v>294</v>
      </c>
      <c r="G487" s="68">
        <v>45589</v>
      </c>
      <c r="H487" s="57">
        <v>4400</v>
      </c>
      <c r="I487" s="61">
        <v>4400</v>
      </c>
      <c r="J487" s="69" t="s">
        <v>35</v>
      </c>
    </row>
    <row r="488" spans="1:10">
      <c r="A488" s="58">
        <v>487</v>
      </c>
      <c r="B488" s="57">
        <v>18487</v>
      </c>
      <c r="C488" s="66" t="s">
        <v>1074</v>
      </c>
      <c r="D488" s="57" t="s">
        <v>1075</v>
      </c>
      <c r="E488" s="57" t="s">
        <v>32</v>
      </c>
      <c r="F488" s="64" t="s">
        <v>73</v>
      </c>
      <c r="G488" s="68">
        <v>45590</v>
      </c>
      <c r="H488" s="57">
        <v>5500</v>
      </c>
      <c r="I488" s="61">
        <v>600</v>
      </c>
      <c r="J488" s="69" t="s">
        <v>88</v>
      </c>
    </row>
    <row r="489" spans="1:10">
      <c r="A489" s="58">
        <v>488</v>
      </c>
      <c r="B489" s="57">
        <v>18488</v>
      </c>
      <c r="C489" s="66" t="s">
        <v>1076</v>
      </c>
      <c r="D489" s="57" t="s">
        <v>899</v>
      </c>
      <c r="E489" s="57" t="s">
        <v>32</v>
      </c>
      <c r="F489" s="64" t="s">
        <v>73</v>
      </c>
      <c r="G489" s="68">
        <v>45590</v>
      </c>
      <c r="H489" s="57">
        <v>5500</v>
      </c>
      <c r="I489" s="61">
        <v>5500</v>
      </c>
      <c r="J489" s="69" t="s">
        <v>295</v>
      </c>
    </row>
    <row r="490" spans="1:10">
      <c r="A490" s="58">
        <v>489</v>
      </c>
      <c r="B490" s="57">
        <v>18489</v>
      </c>
      <c r="C490" s="67" t="s">
        <v>929</v>
      </c>
      <c r="D490" s="57" t="s">
        <v>1077</v>
      </c>
      <c r="E490" s="57" t="s">
        <v>32</v>
      </c>
      <c r="F490" s="65" t="s">
        <v>294</v>
      </c>
      <c r="G490" s="68">
        <v>45591</v>
      </c>
      <c r="H490" s="57">
        <v>4400</v>
      </c>
      <c r="I490" s="61">
        <v>4400</v>
      </c>
      <c r="J490" s="69" t="s">
        <v>297</v>
      </c>
    </row>
    <row r="491" spans="1:10">
      <c r="A491" s="58">
        <v>490</v>
      </c>
      <c r="B491" s="57">
        <v>18490</v>
      </c>
      <c r="C491" s="58" t="s">
        <v>1078</v>
      </c>
      <c r="D491" s="57" t="s">
        <v>357</v>
      </c>
      <c r="E491" s="57" t="s">
        <v>32</v>
      </c>
      <c r="F491" s="64" t="s">
        <v>73</v>
      </c>
      <c r="G491" s="68">
        <v>45593</v>
      </c>
      <c r="H491" s="57">
        <v>5500</v>
      </c>
      <c r="I491" s="61">
        <v>4900</v>
      </c>
      <c r="J491" s="69" t="s">
        <v>39</v>
      </c>
    </row>
    <row r="492" spans="1:10">
      <c r="A492" s="58">
        <v>491</v>
      </c>
      <c r="B492" s="57">
        <v>18491</v>
      </c>
      <c r="C492" s="58" t="s">
        <v>1079</v>
      </c>
      <c r="D492" s="57" t="s">
        <v>879</v>
      </c>
      <c r="E492" s="57" t="s">
        <v>32</v>
      </c>
      <c r="F492" s="65" t="s">
        <v>294</v>
      </c>
      <c r="G492" s="68">
        <v>45594</v>
      </c>
      <c r="H492" s="57">
        <v>4400</v>
      </c>
      <c r="I492" s="61">
        <v>4400</v>
      </c>
      <c r="J492" s="69" t="s">
        <v>299</v>
      </c>
    </row>
    <row r="493" spans="1:10">
      <c r="A493" s="58">
        <v>492</v>
      </c>
      <c r="B493" s="57">
        <v>18492</v>
      </c>
      <c r="C493" s="66" t="s">
        <v>1080</v>
      </c>
      <c r="D493" s="57" t="s">
        <v>1081</v>
      </c>
      <c r="E493" s="57" t="s">
        <v>54</v>
      </c>
      <c r="F493" s="65" t="s">
        <v>294</v>
      </c>
      <c r="G493" s="68">
        <v>45595</v>
      </c>
      <c r="H493" s="57">
        <v>4400</v>
      </c>
      <c r="I493" s="61">
        <v>4400</v>
      </c>
      <c r="J493" s="69" t="s">
        <v>300</v>
      </c>
    </row>
    <row r="494" spans="1:10">
      <c r="A494" s="58">
        <v>493</v>
      </c>
      <c r="B494" s="57">
        <v>18493</v>
      </c>
      <c r="C494" s="66" t="s">
        <v>1082</v>
      </c>
      <c r="D494" s="57" t="s">
        <v>1083</v>
      </c>
      <c r="E494" s="57" t="s">
        <v>54</v>
      </c>
      <c r="F494" s="65" t="s">
        <v>294</v>
      </c>
      <c r="G494" s="68">
        <v>45595</v>
      </c>
      <c r="H494" s="57">
        <v>4400</v>
      </c>
      <c r="I494" s="61">
        <v>4400</v>
      </c>
      <c r="J494" s="69" t="s">
        <v>302</v>
      </c>
    </row>
    <row r="495" spans="1:10">
      <c r="A495" s="58">
        <v>494</v>
      </c>
      <c r="B495" s="57">
        <v>18494</v>
      </c>
      <c r="C495" s="66" t="s">
        <v>1084</v>
      </c>
      <c r="D495" s="57" t="s">
        <v>535</v>
      </c>
      <c r="E495" s="57" t="s">
        <v>32</v>
      </c>
      <c r="F495" s="64" t="s">
        <v>73</v>
      </c>
      <c r="G495" s="68">
        <v>45596</v>
      </c>
      <c r="H495" s="57">
        <v>5500</v>
      </c>
      <c r="I495" s="61">
        <v>5500</v>
      </c>
      <c r="J495" s="69" t="s">
        <v>304</v>
      </c>
    </row>
    <row r="496" spans="1:10">
      <c r="A496" s="58">
        <v>495</v>
      </c>
      <c r="B496" s="57">
        <v>18495</v>
      </c>
      <c r="C496" s="66" t="s">
        <v>1085</v>
      </c>
      <c r="D496" s="57" t="s">
        <v>87</v>
      </c>
      <c r="E496" s="57" t="s">
        <v>32</v>
      </c>
      <c r="F496" s="65" t="s">
        <v>294</v>
      </c>
      <c r="G496" s="68">
        <v>45597</v>
      </c>
      <c r="H496" s="57">
        <v>4400</v>
      </c>
      <c r="I496" s="61">
        <v>4000</v>
      </c>
      <c r="J496" s="69" t="s">
        <v>306</v>
      </c>
    </row>
    <row r="497" spans="1:10">
      <c r="A497" s="58">
        <v>496</v>
      </c>
      <c r="B497" s="57">
        <v>18496</v>
      </c>
      <c r="C497" s="66" t="s">
        <v>1086</v>
      </c>
      <c r="D497" s="57" t="s">
        <v>432</v>
      </c>
      <c r="E497" s="57" t="s">
        <v>32</v>
      </c>
      <c r="F497" s="65" t="s">
        <v>294</v>
      </c>
      <c r="G497" s="68">
        <v>45600</v>
      </c>
      <c r="H497" s="57">
        <v>4400</v>
      </c>
      <c r="I497" s="61">
        <v>4400</v>
      </c>
      <c r="J497" s="69" t="s">
        <v>39</v>
      </c>
    </row>
    <row r="498" spans="1:10">
      <c r="A498" s="58">
        <v>497</v>
      </c>
      <c r="B498" s="57">
        <v>18497</v>
      </c>
      <c r="C498" s="66" t="s">
        <v>1087</v>
      </c>
      <c r="D498" s="57" t="s">
        <v>964</v>
      </c>
      <c r="E498" s="57" t="s">
        <v>32</v>
      </c>
      <c r="F498" s="65" t="s">
        <v>294</v>
      </c>
      <c r="G498" s="68">
        <v>45600</v>
      </c>
      <c r="H498" s="57">
        <v>4400</v>
      </c>
      <c r="I498" s="61">
        <v>4400</v>
      </c>
      <c r="J498" s="69" t="s">
        <v>299</v>
      </c>
    </row>
    <row r="499" spans="1:10">
      <c r="A499" s="58">
        <v>498</v>
      </c>
      <c r="B499" s="57">
        <v>18498</v>
      </c>
      <c r="C499" s="66" t="s">
        <v>1088</v>
      </c>
      <c r="D499" s="57" t="s">
        <v>729</v>
      </c>
      <c r="E499" s="57" t="s">
        <v>32</v>
      </c>
      <c r="F499" s="65" t="s">
        <v>294</v>
      </c>
      <c r="G499" s="68">
        <v>45600</v>
      </c>
      <c r="H499" s="57">
        <v>4400</v>
      </c>
      <c r="I499" s="61">
        <v>4400</v>
      </c>
      <c r="J499" s="69" t="s">
        <v>35</v>
      </c>
    </row>
    <row r="500" spans="1:10">
      <c r="A500" s="58">
        <v>499</v>
      </c>
      <c r="B500" s="57">
        <v>18499</v>
      </c>
      <c r="C500" s="66" t="s">
        <v>1089</v>
      </c>
      <c r="D500" s="57" t="s">
        <v>1090</v>
      </c>
      <c r="E500" s="57" t="s">
        <v>54</v>
      </c>
      <c r="F500" s="64" t="s">
        <v>73</v>
      </c>
      <c r="G500" s="68">
        <v>45601</v>
      </c>
      <c r="H500" s="57">
        <v>5500</v>
      </c>
      <c r="I500" s="61">
        <v>4900</v>
      </c>
      <c r="J500" s="69" t="s">
        <v>310</v>
      </c>
    </row>
    <row r="501" spans="1:10">
      <c r="A501" s="58">
        <v>500</v>
      </c>
      <c r="B501" s="57">
        <v>18500</v>
      </c>
      <c r="C501" s="66" t="s">
        <v>1091</v>
      </c>
      <c r="D501" s="57" t="s">
        <v>1092</v>
      </c>
      <c r="E501" s="57" t="s">
        <v>32</v>
      </c>
      <c r="F501" s="64" t="s">
        <v>73</v>
      </c>
      <c r="G501" s="68">
        <v>45601</v>
      </c>
      <c r="H501" s="57">
        <v>5500</v>
      </c>
      <c r="I501" s="61">
        <v>5100</v>
      </c>
      <c r="J501" s="69" t="s">
        <v>70</v>
      </c>
    </row>
    <row r="502" spans="1:10">
      <c r="A502" s="58">
        <v>501</v>
      </c>
      <c r="B502" s="57">
        <v>18501</v>
      </c>
      <c r="C502" s="66" t="s">
        <v>1093</v>
      </c>
      <c r="D502" s="57" t="s">
        <v>1094</v>
      </c>
      <c r="E502" s="57" t="s">
        <v>54</v>
      </c>
      <c r="F502" s="65" t="s">
        <v>294</v>
      </c>
      <c r="G502" s="68">
        <v>45602</v>
      </c>
      <c r="H502" s="57">
        <v>4400</v>
      </c>
      <c r="I502" s="61">
        <v>3800</v>
      </c>
      <c r="J502" s="69" t="s">
        <v>75</v>
      </c>
    </row>
    <row r="503" spans="1:10">
      <c r="A503" s="58">
        <v>502</v>
      </c>
      <c r="B503" s="57">
        <v>18502</v>
      </c>
      <c r="C503" s="66" t="s">
        <v>1095</v>
      </c>
      <c r="D503" s="57" t="s">
        <v>1096</v>
      </c>
      <c r="E503" s="57" t="s">
        <v>32</v>
      </c>
      <c r="F503" s="65" t="s">
        <v>294</v>
      </c>
      <c r="G503" s="68">
        <v>45602</v>
      </c>
      <c r="H503" s="57">
        <v>4400</v>
      </c>
      <c r="I503" s="61">
        <v>3800</v>
      </c>
      <c r="J503" s="69" t="s">
        <v>70</v>
      </c>
    </row>
    <row r="504" spans="1:10">
      <c r="A504" s="58">
        <v>503</v>
      </c>
      <c r="B504" s="57">
        <v>18503</v>
      </c>
      <c r="C504" s="66" t="s">
        <v>1097</v>
      </c>
      <c r="D504" s="57" t="s">
        <v>1098</v>
      </c>
      <c r="E504" s="57" t="s">
        <v>32</v>
      </c>
      <c r="F504" s="65" t="s">
        <v>294</v>
      </c>
      <c r="G504" s="68">
        <v>45602</v>
      </c>
      <c r="H504" s="57">
        <v>4400</v>
      </c>
      <c r="I504" s="61">
        <v>4400</v>
      </c>
      <c r="J504" s="69" t="s">
        <v>75</v>
      </c>
    </row>
    <row r="505" spans="1:10">
      <c r="A505" s="58">
        <v>504</v>
      </c>
      <c r="B505" s="57">
        <v>18504</v>
      </c>
      <c r="C505" s="66" t="s">
        <v>1099</v>
      </c>
      <c r="D505" s="57" t="s">
        <v>589</v>
      </c>
      <c r="E505" s="57" t="s">
        <v>32</v>
      </c>
      <c r="F505" s="65" t="s">
        <v>294</v>
      </c>
      <c r="G505" s="68">
        <v>45603</v>
      </c>
      <c r="H505" s="57">
        <v>4400</v>
      </c>
      <c r="I505" s="61">
        <v>4400</v>
      </c>
      <c r="J505" s="69" t="s">
        <v>75</v>
      </c>
    </row>
    <row r="506" spans="1:10">
      <c r="A506" s="58">
        <v>505</v>
      </c>
      <c r="B506" s="57">
        <v>18505</v>
      </c>
      <c r="C506" s="66" t="s">
        <v>1100</v>
      </c>
      <c r="D506" s="57" t="s">
        <v>1101</v>
      </c>
      <c r="E506" s="57" t="s">
        <v>32</v>
      </c>
      <c r="F506" s="64" t="s">
        <v>73</v>
      </c>
      <c r="G506" s="68">
        <v>45603</v>
      </c>
      <c r="H506" s="57">
        <v>5500</v>
      </c>
      <c r="I506" s="61">
        <v>4500</v>
      </c>
      <c r="J506" s="69" t="s">
        <v>70</v>
      </c>
    </row>
    <row r="507" spans="1:10">
      <c r="A507" s="58">
        <v>506</v>
      </c>
      <c r="B507" s="57">
        <v>18506</v>
      </c>
      <c r="C507" s="66" t="s">
        <v>1097</v>
      </c>
      <c r="D507" s="57" t="s">
        <v>1102</v>
      </c>
      <c r="E507" s="57" t="s">
        <v>32</v>
      </c>
      <c r="F507" s="64" t="s">
        <v>73</v>
      </c>
      <c r="G507" s="68">
        <v>45603</v>
      </c>
      <c r="H507" s="57">
        <v>5500</v>
      </c>
      <c r="I507" s="61">
        <v>5500</v>
      </c>
      <c r="J507" s="69" t="s">
        <v>88</v>
      </c>
    </row>
    <row r="508" spans="1:10">
      <c r="A508" s="58">
        <v>507</v>
      </c>
      <c r="B508" s="57">
        <v>18507</v>
      </c>
      <c r="C508" s="66" t="s">
        <v>1103</v>
      </c>
      <c r="D508" s="57" t="s">
        <v>1104</v>
      </c>
      <c r="E508" s="57" t="s">
        <v>54</v>
      </c>
      <c r="F508" s="64" t="s">
        <v>73</v>
      </c>
      <c r="G508" s="68">
        <v>45604</v>
      </c>
      <c r="H508" s="57">
        <v>5500</v>
      </c>
      <c r="I508" s="61">
        <v>5500</v>
      </c>
      <c r="J508" s="69" t="s">
        <v>314</v>
      </c>
    </row>
    <row r="509" spans="1:10">
      <c r="A509" s="58">
        <v>508</v>
      </c>
      <c r="B509" s="57">
        <v>18508</v>
      </c>
      <c r="C509" s="66" t="s">
        <v>1105</v>
      </c>
      <c r="D509" s="58" t="s">
        <v>1106</v>
      </c>
      <c r="E509" s="57" t="s">
        <v>54</v>
      </c>
      <c r="F509" s="65" t="s">
        <v>294</v>
      </c>
      <c r="G509" s="68">
        <v>45604</v>
      </c>
      <c r="H509" s="57">
        <v>4400</v>
      </c>
      <c r="I509" s="61">
        <v>4400</v>
      </c>
      <c r="J509" s="69" t="s">
        <v>39</v>
      </c>
    </row>
    <row r="510" spans="1:10">
      <c r="A510" s="58">
        <v>509</v>
      </c>
      <c r="B510" s="57">
        <v>18509</v>
      </c>
      <c r="C510" s="66" t="s">
        <v>1107</v>
      </c>
      <c r="D510" s="57" t="s">
        <v>1108</v>
      </c>
      <c r="E510" s="57" t="s">
        <v>32</v>
      </c>
      <c r="F510" s="65" t="s">
        <v>294</v>
      </c>
      <c r="G510" s="68">
        <v>45605</v>
      </c>
      <c r="H510" s="57">
        <v>4400</v>
      </c>
      <c r="I510" s="61">
        <v>4000</v>
      </c>
      <c r="J510" s="69" t="s">
        <v>299</v>
      </c>
    </row>
    <row r="511" spans="1:10">
      <c r="A511" s="58">
        <v>510</v>
      </c>
      <c r="B511" s="57">
        <v>18510</v>
      </c>
      <c r="C511" s="66" t="s">
        <v>1109</v>
      </c>
      <c r="D511" s="58" t="s">
        <v>1110</v>
      </c>
      <c r="E511" s="57" t="s">
        <v>32</v>
      </c>
      <c r="F511" s="64" t="s">
        <v>73</v>
      </c>
      <c r="G511" s="68">
        <v>45605</v>
      </c>
      <c r="H511" s="57">
        <v>5500</v>
      </c>
      <c r="I511" s="61">
        <v>5500</v>
      </c>
      <c r="J511" s="69" t="s">
        <v>299</v>
      </c>
    </row>
    <row r="512" spans="1:10">
      <c r="A512" s="58">
        <v>511</v>
      </c>
      <c r="B512" s="57">
        <v>18511</v>
      </c>
      <c r="C512" s="66" t="s">
        <v>1111</v>
      </c>
      <c r="D512" s="57" t="s">
        <v>1112</v>
      </c>
      <c r="E512" s="57" t="s">
        <v>32</v>
      </c>
      <c r="F512" s="65" t="s">
        <v>294</v>
      </c>
      <c r="G512" s="68">
        <v>45607</v>
      </c>
      <c r="H512" s="57">
        <v>4400</v>
      </c>
      <c r="I512" s="61">
        <v>4000</v>
      </c>
      <c r="J512" s="69" t="s">
        <v>322</v>
      </c>
    </row>
    <row r="513" spans="1:10">
      <c r="A513" s="58">
        <v>512</v>
      </c>
      <c r="B513" s="57">
        <v>18512</v>
      </c>
      <c r="C513" s="66" t="s">
        <v>1113</v>
      </c>
      <c r="D513" s="57" t="s">
        <v>964</v>
      </c>
      <c r="E513" s="57" t="s">
        <v>54</v>
      </c>
      <c r="F513" s="65" t="s">
        <v>294</v>
      </c>
      <c r="G513" s="68">
        <v>45608</v>
      </c>
      <c r="H513" s="57">
        <v>4400</v>
      </c>
      <c r="I513" s="61">
        <v>3800</v>
      </c>
      <c r="J513" s="69" t="s">
        <v>325</v>
      </c>
    </row>
    <row r="514" spans="1:10">
      <c r="A514" s="58">
        <v>513</v>
      </c>
      <c r="B514" s="57">
        <v>18513</v>
      </c>
      <c r="C514" s="66" t="s">
        <v>1113</v>
      </c>
      <c r="D514" s="57" t="s">
        <v>623</v>
      </c>
      <c r="E514" s="57" t="s">
        <v>32</v>
      </c>
      <c r="F514" s="64" t="s">
        <v>73</v>
      </c>
      <c r="G514" s="68">
        <v>45609</v>
      </c>
      <c r="H514" s="57">
        <v>5500</v>
      </c>
      <c r="I514" s="61">
        <v>5100</v>
      </c>
      <c r="J514" s="69" t="s">
        <v>295</v>
      </c>
    </row>
    <row r="515" spans="1:10">
      <c r="A515" s="58">
        <v>514</v>
      </c>
      <c r="B515" s="57">
        <v>18514</v>
      </c>
      <c r="C515" s="66" t="s">
        <v>1114</v>
      </c>
      <c r="D515" s="58" t="s">
        <v>1115</v>
      </c>
      <c r="E515" s="57" t="s">
        <v>32</v>
      </c>
      <c r="F515" s="64" t="s">
        <v>73</v>
      </c>
      <c r="G515" s="68">
        <v>45609</v>
      </c>
      <c r="H515" s="57">
        <v>5500</v>
      </c>
      <c r="I515" s="61">
        <v>4900</v>
      </c>
      <c r="J515" s="69" t="s">
        <v>314</v>
      </c>
    </row>
    <row r="516" spans="1:10">
      <c r="A516" s="58">
        <v>515</v>
      </c>
      <c r="B516" s="57">
        <v>18515</v>
      </c>
      <c r="C516" s="57" t="s">
        <v>784</v>
      </c>
      <c r="D516" s="57" t="s">
        <v>1116</v>
      </c>
      <c r="E516" s="57" t="s">
        <v>32</v>
      </c>
      <c r="F516" s="64" t="s">
        <v>73</v>
      </c>
      <c r="G516" s="68">
        <v>45610</v>
      </c>
      <c r="H516" s="57">
        <v>5500</v>
      </c>
      <c r="I516" s="61">
        <v>5500</v>
      </c>
      <c r="J516" s="69" t="s">
        <v>314</v>
      </c>
    </row>
    <row r="517" spans="1:10">
      <c r="A517" s="58">
        <v>516</v>
      </c>
      <c r="B517" s="57">
        <v>18516</v>
      </c>
      <c r="C517" s="66" t="s">
        <v>1117</v>
      </c>
      <c r="D517" s="57" t="s">
        <v>1118</v>
      </c>
      <c r="E517" s="57" t="s">
        <v>54</v>
      </c>
      <c r="F517" s="65" t="s">
        <v>294</v>
      </c>
      <c r="G517" s="68">
        <v>45610</v>
      </c>
      <c r="H517" s="57">
        <v>4400</v>
      </c>
      <c r="I517" s="61">
        <v>3800</v>
      </c>
      <c r="J517" s="69" t="s">
        <v>302</v>
      </c>
    </row>
    <row r="518" spans="1:10">
      <c r="A518" s="58">
        <v>517</v>
      </c>
      <c r="B518" s="57">
        <v>18517</v>
      </c>
      <c r="C518" s="66" t="s">
        <v>1117</v>
      </c>
      <c r="D518" s="57" t="s">
        <v>561</v>
      </c>
      <c r="E518" s="57" t="s">
        <v>54</v>
      </c>
      <c r="F518" s="64" t="s">
        <v>73</v>
      </c>
      <c r="G518" s="68">
        <v>45610</v>
      </c>
      <c r="H518" s="57">
        <v>5500</v>
      </c>
      <c r="I518" s="61">
        <v>5500</v>
      </c>
      <c r="J518" s="69" t="s">
        <v>302</v>
      </c>
    </row>
    <row r="519" spans="1:10">
      <c r="A519" s="58">
        <v>518</v>
      </c>
      <c r="B519" s="57">
        <v>18518</v>
      </c>
      <c r="C519" s="66" t="s">
        <v>1119</v>
      </c>
      <c r="D519" s="57" t="s">
        <v>1120</v>
      </c>
      <c r="E519" s="57" t="s">
        <v>54</v>
      </c>
      <c r="F519" s="65" t="s">
        <v>294</v>
      </c>
      <c r="G519" s="68">
        <v>45611</v>
      </c>
      <c r="H519" s="57">
        <v>4400</v>
      </c>
      <c r="I519" s="61">
        <v>4400</v>
      </c>
      <c r="J519" s="69" t="s">
        <v>337</v>
      </c>
    </row>
    <row r="520" spans="1:10">
      <c r="A520" s="58">
        <v>519</v>
      </c>
      <c r="B520" s="57">
        <v>18519</v>
      </c>
      <c r="C520" s="66" t="s">
        <v>1121</v>
      </c>
      <c r="D520" s="57" t="s">
        <v>1122</v>
      </c>
      <c r="E520" s="57" t="s">
        <v>32</v>
      </c>
      <c r="F520" s="65" t="s">
        <v>294</v>
      </c>
      <c r="G520" s="68">
        <v>45611</v>
      </c>
      <c r="H520" s="57">
        <v>4400</v>
      </c>
      <c r="I520" s="61">
        <v>4400</v>
      </c>
      <c r="J520" s="69" t="s">
        <v>297</v>
      </c>
    </row>
    <row r="521" spans="1:10">
      <c r="A521" s="58">
        <v>520</v>
      </c>
      <c r="B521" s="57">
        <v>18520</v>
      </c>
      <c r="C521" s="66" t="s">
        <v>1123</v>
      </c>
      <c r="D521" s="57" t="s">
        <v>1124</v>
      </c>
      <c r="E521" s="57" t="s">
        <v>32</v>
      </c>
      <c r="F521" s="65" t="s">
        <v>294</v>
      </c>
      <c r="G521" s="68">
        <v>45612</v>
      </c>
      <c r="H521" s="57">
        <v>4400</v>
      </c>
      <c r="I521" s="61">
        <v>3800</v>
      </c>
      <c r="J521" s="69" t="s">
        <v>310</v>
      </c>
    </row>
    <row r="522" spans="1:10">
      <c r="A522" s="58">
        <v>521</v>
      </c>
      <c r="B522" s="57">
        <v>18521</v>
      </c>
      <c r="C522" s="66" t="s">
        <v>1125</v>
      </c>
      <c r="D522" s="57" t="s">
        <v>1126</v>
      </c>
      <c r="E522" s="57" t="s">
        <v>54</v>
      </c>
      <c r="F522" s="65" t="s">
        <v>294</v>
      </c>
      <c r="G522" s="68">
        <v>45614</v>
      </c>
      <c r="H522" s="57">
        <v>4400</v>
      </c>
      <c r="I522" s="61">
        <v>3800</v>
      </c>
      <c r="J522" s="69" t="s">
        <v>322</v>
      </c>
    </row>
    <row r="523" spans="1:10">
      <c r="A523" s="58">
        <v>522</v>
      </c>
      <c r="B523" s="57">
        <v>18522</v>
      </c>
      <c r="C523" s="66" t="s">
        <v>1127</v>
      </c>
      <c r="D523" s="57" t="s">
        <v>1128</v>
      </c>
      <c r="E523" s="57" t="s">
        <v>54</v>
      </c>
      <c r="F523" s="65" t="s">
        <v>294</v>
      </c>
      <c r="G523" s="68">
        <v>45614</v>
      </c>
      <c r="H523" s="57">
        <v>4400</v>
      </c>
      <c r="I523" s="61">
        <v>4400</v>
      </c>
      <c r="J523" s="69" t="s">
        <v>337</v>
      </c>
    </row>
    <row r="524" spans="1:10">
      <c r="A524" s="58">
        <v>523</v>
      </c>
      <c r="B524" s="57">
        <v>18523</v>
      </c>
      <c r="C524" s="66" t="s">
        <v>1129</v>
      </c>
      <c r="D524" s="57" t="s">
        <v>466</v>
      </c>
      <c r="E524" s="57" t="s">
        <v>32</v>
      </c>
      <c r="F524" s="64" t="s">
        <v>73</v>
      </c>
      <c r="G524" s="68">
        <v>45615</v>
      </c>
      <c r="H524" s="57">
        <v>5500</v>
      </c>
      <c r="I524" s="61">
        <v>4900</v>
      </c>
      <c r="J524" s="69" t="s">
        <v>300</v>
      </c>
    </row>
    <row r="525" spans="1:10">
      <c r="A525" s="58">
        <v>524</v>
      </c>
      <c r="B525" s="57">
        <v>18524</v>
      </c>
      <c r="C525" s="66" t="s">
        <v>1130</v>
      </c>
      <c r="D525" s="57" t="s">
        <v>496</v>
      </c>
      <c r="E525" s="57" t="s">
        <v>32</v>
      </c>
      <c r="F525" s="65" t="s">
        <v>294</v>
      </c>
      <c r="G525" s="68">
        <v>45617</v>
      </c>
      <c r="H525" s="57">
        <v>4400</v>
      </c>
      <c r="I525" s="61">
        <v>4400</v>
      </c>
      <c r="J525" s="69" t="s">
        <v>35</v>
      </c>
    </row>
    <row r="526" spans="1:10">
      <c r="A526" s="58">
        <v>525</v>
      </c>
      <c r="B526" s="57">
        <v>18525</v>
      </c>
      <c r="C526" s="66" t="s">
        <v>1131</v>
      </c>
      <c r="D526" s="57" t="s">
        <v>1132</v>
      </c>
      <c r="E526" s="57" t="s">
        <v>32</v>
      </c>
      <c r="F526" s="65" t="s">
        <v>294</v>
      </c>
      <c r="G526" s="68">
        <v>45618</v>
      </c>
      <c r="H526" s="57">
        <v>4400</v>
      </c>
      <c r="I526" s="61">
        <v>3800</v>
      </c>
      <c r="J526" s="69" t="s">
        <v>88</v>
      </c>
    </row>
    <row r="527" spans="1:10">
      <c r="A527" s="58">
        <v>526</v>
      </c>
      <c r="B527" s="57">
        <v>18526</v>
      </c>
      <c r="C527" s="66" t="s">
        <v>1054</v>
      </c>
      <c r="D527" s="57" t="s">
        <v>677</v>
      </c>
      <c r="E527" s="57" t="s">
        <v>32</v>
      </c>
      <c r="F527" s="65" t="s">
        <v>294</v>
      </c>
      <c r="G527" s="68">
        <v>45619</v>
      </c>
      <c r="H527" s="57">
        <v>4400</v>
      </c>
      <c r="I527" s="61">
        <v>3800</v>
      </c>
      <c r="J527" s="69" t="s">
        <v>306</v>
      </c>
    </row>
    <row r="528" spans="1:10">
      <c r="A528" s="58">
        <v>527</v>
      </c>
      <c r="B528" s="57">
        <v>18527</v>
      </c>
      <c r="C528" s="66" t="s">
        <v>1133</v>
      </c>
      <c r="D528" s="57" t="s">
        <v>366</v>
      </c>
      <c r="E528" s="57" t="s">
        <v>32</v>
      </c>
      <c r="F528" s="65" t="s">
        <v>294</v>
      </c>
      <c r="G528" s="68">
        <v>45622</v>
      </c>
      <c r="H528" s="57">
        <v>4400</v>
      </c>
      <c r="I528" s="61">
        <v>4400</v>
      </c>
      <c r="J528" s="69" t="s">
        <v>325</v>
      </c>
    </row>
    <row r="529" spans="1:10">
      <c r="A529" s="58">
        <v>528</v>
      </c>
      <c r="B529" s="57">
        <v>18528</v>
      </c>
      <c r="C529" s="66" t="s">
        <v>1134</v>
      </c>
      <c r="D529" s="58" t="s">
        <v>1135</v>
      </c>
      <c r="E529" s="57" t="s">
        <v>32</v>
      </c>
      <c r="F529" s="65" t="s">
        <v>294</v>
      </c>
      <c r="G529" s="68">
        <v>45622</v>
      </c>
      <c r="H529" s="57">
        <v>4400</v>
      </c>
      <c r="I529" s="61">
        <v>4400</v>
      </c>
      <c r="J529" s="69" t="s">
        <v>295</v>
      </c>
    </row>
    <row r="530" spans="1:10">
      <c r="A530" s="58">
        <v>529</v>
      </c>
      <c r="B530" s="57">
        <v>18529</v>
      </c>
      <c r="C530" s="58" t="s">
        <v>1136</v>
      </c>
      <c r="D530" s="57" t="s">
        <v>317</v>
      </c>
      <c r="E530" s="57" t="s">
        <v>54</v>
      </c>
      <c r="F530" s="64" t="s">
        <v>73</v>
      </c>
      <c r="G530" s="68">
        <v>45623</v>
      </c>
      <c r="H530" s="57">
        <v>5500</v>
      </c>
      <c r="I530" s="61">
        <v>5500</v>
      </c>
      <c r="J530" s="69" t="s">
        <v>297</v>
      </c>
    </row>
    <row r="531" spans="1:10">
      <c r="A531" s="58">
        <v>530</v>
      </c>
      <c r="B531" s="57">
        <v>18530</v>
      </c>
      <c r="C531" s="66" t="s">
        <v>1137</v>
      </c>
      <c r="D531" s="57" t="s">
        <v>1034</v>
      </c>
      <c r="E531" s="57" t="s">
        <v>54</v>
      </c>
      <c r="F531" s="64" t="s">
        <v>73</v>
      </c>
      <c r="G531" s="68">
        <v>45623</v>
      </c>
      <c r="H531" s="57">
        <v>5500</v>
      </c>
      <c r="I531" s="61">
        <v>4900</v>
      </c>
      <c r="J531" s="69" t="s">
        <v>310</v>
      </c>
    </row>
    <row r="532" spans="1:10">
      <c r="A532" s="58">
        <v>531</v>
      </c>
      <c r="B532" s="57">
        <v>18531</v>
      </c>
      <c r="C532" s="66" t="s">
        <v>1138</v>
      </c>
      <c r="D532" s="57" t="s">
        <v>402</v>
      </c>
      <c r="E532" s="57" t="s">
        <v>32</v>
      </c>
      <c r="F532" s="65" t="s">
        <v>294</v>
      </c>
      <c r="G532" s="68">
        <v>45624</v>
      </c>
      <c r="H532" s="57">
        <v>4400</v>
      </c>
      <c r="I532" s="61">
        <v>4400</v>
      </c>
      <c r="J532" s="69" t="s">
        <v>322</v>
      </c>
    </row>
    <row r="533" spans="1:10">
      <c r="A533" s="58">
        <v>532</v>
      </c>
      <c r="B533" s="57">
        <v>18532</v>
      </c>
      <c r="C533" s="57" t="s">
        <v>91</v>
      </c>
      <c r="D533" s="57" t="s">
        <v>1139</v>
      </c>
      <c r="E533" s="57" t="s">
        <v>54</v>
      </c>
      <c r="F533" s="58" t="s">
        <v>1140</v>
      </c>
      <c r="G533" s="68">
        <v>45629</v>
      </c>
      <c r="H533" s="57">
        <v>2200</v>
      </c>
      <c r="I533" s="61">
        <v>300</v>
      </c>
      <c r="J533" s="69" t="s">
        <v>337</v>
      </c>
    </row>
    <row r="534" spans="1:10">
      <c r="A534" s="58">
        <v>533</v>
      </c>
      <c r="B534" s="57">
        <v>18533</v>
      </c>
      <c r="C534" s="57" t="s">
        <v>78</v>
      </c>
      <c r="D534" s="57" t="s">
        <v>1141</v>
      </c>
      <c r="E534" s="57" t="s">
        <v>54</v>
      </c>
      <c r="F534" s="58" t="s">
        <v>1140</v>
      </c>
      <c r="G534" s="68">
        <v>45630</v>
      </c>
      <c r="H534" s="57">
        <v>2200</v>
      </c>
      <c r="I534" s="61">
        <v>1600</v>
      </c>
      <c r="J534" s="69" t="s">
        <v>300</v>
      </c>
    </row>
    <row r="535" spans="1:10">
      <c r="A535" s="58">
        <v>534</v>
      </c>
      <c r="B535" s="57">
        <v>18534</v>
      </c>
      <c r="C535" s="57" t="s">
        <v>318</v>
      </c>
      <c r="D535" s="57" t="s">
        <v>1142</v>
      </c>
      <c r="E535" s="57" t="s">
        <v>32</v>
      </c>
      <c r="F535" s="58" t="s">
        <v>1140</v>
      </c>
      <c r="G535" s="68">
        <v>45630</v>
      </c>
      <c r="H535" s="57">
        <v>2200</v>
      </c>
      <c r="I535" s="61">
        <v>2200</v>
      </c>
      <c r="J535" s="69" t="s">
        <v>35</v>
      </c>
    </row>
    <row r="536" spans="1:10">
      <c r="A536" s="58">
        <v>535</v>
      </c>
      <c r="B536" s="57">
        <v>18535</v>
      </c>
      <c r="C536" s="57" t="s">
        <v>320</v>
      </c>
      <c r="D536" s="58" t="s">
        <v>1143</v>
      </c>
      <c r="E536" s="57" t="s">
        <v>32</v>
      </c>
      <c r="F536" s="58" t="s">
        <v>1140</v>
      </c>
      <c r="G536" s="68">
        <v>45630</v>
      </c>
      <c r="H536" s="57">
        <v>2200</v>
      </c>
      <c r="I536" s="61">
        <v>2200</v>
      </c>
      <c r="J536" s="69" t="s">
        <v>88</v>
      </c>
    </row>
    <row r="537" spans="1:10">
      <c r="A537" s="58">
        <v>536</v>
      </c>
      <c r="B537" s="57">
        <v>18536</v>
      </c>
      <c r="C537" s="57" t="s">
        <v>89</v>
      </c>
      <c r="D537" s="57" t="s">
        <v>1011</v>
      </c>
      <c r="E537" s="57" t="s">
        <v>32</v>
      </c>
      <c r="F537" s="58" t="s">
        <v>1140</v>
      </c>
      <c r="G537" s="68">
        <v>45631</v>
      </c>
      <c r="H537" s="57">
        <v>2200</v>
      </c>
      <c r="I537" s="61">
        <v>2200</v>
      </c>
      <c r="J537" s="69" t="s">
        <v>306</v>
      </c>
    </row>
    <row r="538" spans="1:10">
      <c r="A538" s="58">
        <v>537</v>
      </c>
      <c r="B538" s="57">
        <v>18537</v>
      </c>
      <c r="C538" s="57" t="s">
        <v>326</v>
      </c>
      <c r="D538" s="57" t="s">
        <v>1144</v>
      </c>
      <c r="E538" s="57" t="s">
        <v>32</v>
      </c>
      <c r="F538" s="58" t="s">
        <v>1140</v>
      </c>
      <c r="G538" s="68">
        <v>45631</v>
      </c>
      <c r="H538" s="57">
        <v>2200</v>
      </c>
      <c r="I538" s="61">
        <v>1800</v>
      </c>
      <c r="J538" s="69" t="s">
        <v>325</v>
      </c>
    </row>
    <row r="539" spans="1:10">
      <c r="A539" s="58">
        <v>538</v>
      </c>
      <c r="B539" s="57">
        <v>18538</v>
      </c>
      <c r="C539" s="57" t="s">
        <v>323</v>
      </c>
      <c r="D539" s="62" t="s">
        <v>826</v>
      </c>
      <c r="E539" s="57" t="s">
        <v>32</v>
      </c>
      <c r="F539" s="58" t="s">
        <v>1140</v>
      </c>
      <c r="G539" s="68">
        <v>45631</v>
      </c>
      <c r="H539" s="57">
        <v>2200</v>
      </c>
      <c r="I539" s="61">
        <v>1800</v>
      </c>
      <c r="J539" s="69" t="s">
        <v>295</v>
      </c>
    </row>
    <row r="540" spans="1:10">
      <c r="A540" s="58">
        <v>539</v>
      </c>
      <c r="B540" s="57">
        <v>18539</v>
      </c>
      <c r="C540" s="62" t="s">
        <v>358</v>
      </c>
      <c r="D540" s="57" t="s">
        <v>1145</v>
      </c>
      <c r="E540" s="57" t="s">
        <v>54</v>
      </c>
      <c r="F540" s="58" t="s">
        <v>1140</v>
      </c>
      <c r="G540" s="68">
        <v>45632</v>
      </c>
      <c r="H540" s="57">
        <v>2200</v>
      </c>
      <c r="I540" s="61">
        <v>1600</v>
      </c>
      <c r="J540" s="69" t="s">
        <v>297</v>
      </c>
    </row>
    <row r="541" spans="1:10">
      <c r="A541" s="58">
        <v>540</v>
      </c>
      <c r="B541" s="57">
        <v>18540</v>
      </c>
      <c r="C541" s="57" t="s">
        <v>76</v>
      </c>
      <c r="D541" s="57" t="s">
        <v>1146</v>
      </c>
      <c r="E541" s="57" t="s">
        <v>54</v>
      </c>
      <c r="F541" s="58" t="s">
        <v>1140</v>
      </c>
      <c r="G541" s="68">
        <v>45632</v>
      </c>
      <c r="H541" s="57">
        <v>2200</v>
      </c>
      <c r="I541" s="61">
        <v>2200</v>
      </c>
      <c r="J541" s="69" t="s">
        <v>310</v>
      </c>
    </row>
    <row r="542" spans="1:10">
      <c r="A542" s="58">
        <v>541</v>
      </c>
      <c r="B542" s="57">
        <v>18541</v>
      </c>
      <c r="C542" s="57" t="s">
        <v>83</v>
      </c>
      <c r="D542" s="57" t="s">
        <v>1147</v>
      </c>
      <c r="E542" s="57" t="s">
        <v>54</v>
      </c>
      <c r="F542" s="58" t="s">
        <v>1140</v>
      </c>
      <c r="G542" s="68">
        <v>45632</v>
      </c>
      <c r="H542" s="57">
        <v>2200</v>
      </c>
      <c r="I542" s="61">
        <v>1600</v>
      </c>
      <c r="J542" s="69" t="s">
        <v>322</v>
      </c>
    </row>
    <row r="543" spans="1:10">
      <c r="A543" s="58">
        <v>542</v>
      </c>
      <c r="B543" s="57">
        <v>18542</v>
      </c>
      <c r="C543" s="57" t="s">
        <v>80</v>
      </c>
      <c r="D543" s="57" t="s">
        <v>327</v>
      </c>
      <c r="E543" s="57" t="s">
        <v>32</v>
      </c>
      <c r="F543" s="58" t="s">
        <v>1140</v>
      </c>
      <c r="G543" s="68">
        <v>45633</v>
      </c>
      <c r="H543" s="57">
        <v>2200</v>
      </c>
      <c r="I543" s="61">
        <v>1600</v>
      </c>
      <c r="J543" s="69" t="s">
        <v>337</v>
      </c>
    </row>
    <row r="544" spans="1:10">
      <c r="A544" s="58">
        <v>543</v>
      </c>
      <c r="B544" s="57">
        <v>18543</v>
      </c>
      <c r="C544" s="57" t="s">
        <v>312</v>
      </c>
      <c r="D544" s="58" t="s">
        <v>347</v>
      </c>
      <c r="E544" s="57" t="s">
        <v>32</v>
      </c>
      <c r="F544" s="58" t="s">
        <v>1140</v>
      </c>
      <c r="G544" s="68">
        <v>45633</v>
      </c>
      <c r="H544" s="57">
        <v>2200</v>
      </c>
      <c r="I544" s="61">
        <v>2200</v>
      </c>
      <c r="J544" s="69" t="s">
        <v>300</v>
      </c>
    </row>
    <row r="545" spans="1:10">
      <c r="A545" s="58">
        <v>544</v>
      </c>
      <c r="B545" s="57">
        <v>18544</v>
      </c>
      <c r="C545" s="57" t="s">
        <v>316</v>
      </c>
      <c r="D545" s="57" t="s">
        <v>89</v>
      </c>
      <c r="E545" s="57" t="s">
        <v>32</v>
      </c>
      <c r="F545" s="58" t="s">
        <v>1140</v>
      </c>
      <c r="G545" s="68">
        <v>45633</v>
      </c>
      <c r="H545" s="57">
        <v>2200</v>
      </c>
      <c r="I545" s="61">
        <v>2200</v>
      </c>
      <c r="J545" s="69" t="s">
        <v>322</v>
      </c>
    </row>
    <row r="546" spans="1:10">
      <c r="A546" s="58">
        <v>545</v>
      </c>
      <c r="B546" s="57">
        <v>18545</v>
      </c>
      <c r="C546" s="57" t="s">
        <v>71</v>
      </c>
      <c r="D546" s="57" t="s">
        <v>924</v>
      </c>
      <c r="E546" s="57" t="s">
        <v>32</v>
      </c>
      <c r="F546" s="58" t="s">
        <v>1140</v>
      </c>
      <c r="G546" s="68">
        <v>45635</v>
      </c>
      <c r="H546" s="57">
        <v>2200</v>
      </c>
      <c r="I546" s="61">
        <v>1600</v>
      </c>
      <c r="J546" s="69" t="s">
        <v>322</v>
      </c>
    </row>
    <row r="547" spans="1:10">
      <c r="A547" s="58">
        <v>546</v>
      </c>
      <c r="B547" s="57">
        <v>18546</v>
      </c>
      <c r="C547" s="57" t="s">
        <v>414</v>
      </c>
      <c r="D547" s="57" t="s">
        <v>1148</v>
      </c>
      <c r="E547" s="57" t="s">
        <v>54</v>
      </c>
      <c r="F547" s="58" t="s">
        <v>1140</v>
      </c>
      <c r="G547" s="68">
        <v>45635</v>
      </c>
      <c r="H547" s="57">
        <v>2200</v>
      </c>
      <c r="I547" s="61">
        <v>2200</v>
      </c>
      <c r="J547" s="69" t="s">
        <v>297</v>
      </c>
    </row>
    <row r="548" spans="1:10">
      <c r="A548" s="58">
        <v>547</v>
      </c>
      <c r="B548" s="57">
        <v>18547</v>
      </c>
      <c r="C548" s="62" t="s">
        <v>356</v>
      </c>
      <c r="D548" s="57" t="s">
        <v>1149</v>
      </c>
      <c r="E548" s="57" t="s">
        <v>32</v>
      </c>
      <c r="F548" s="58" t="s">
        <v>1140</v>
      </c>
      <c r="G548" s="68">
        <v>45635</v>
      </c>
      <c r="H548" s="57">
        <v>2200</v>
      </c>
      <c r="I548" s="61">
        <v>2200</v>
      </c>
      <c r="J548" s="69" t="s">
        <v>310</v>
      </c>
    </row>
    <row r="549" spans="1:10">
      <c r="A549" s="58">
        <v>548</v>
      </c>
      <c r="B549" s="57">
        <v>18548</v>
      </c>
      <c r="C549" s="57" t="s">
        <v>1150</v>
      </c>
      <c r="D549" s="57" t="s">
        <v>1151</v>
      </c>
      <c r="E549" s="57" t="s">
        <v>54</v>
      </c>
      <c r="F549" s="58" t="s">
        <v>1140</v>
      </c>
      <c r="G549" s="68">
        <v>45636</v>
      </c>
      <c r="H549" s="57">
        <v>2200</v>
      </c>
      <c r="I549" s="61">
        <v>1800</v>
      </c>
      <c r="J549" s="69" t="s">
        <v>297</v>
      </c>
    </row>
    <row r="550" spans="1:10">
      <c r="A550" s="58">
        <v>549</v>
      </c>
      <c r="B550" s="57">
        <v>18549</v>
      </c>
      <c r="C550" s="57" t="s">
        <v>956</v>
      </c>
      <c r="D550" s="57" t="s">
        <v>1152</v>
      </c>
      <c r="E550" s="57" t="s">
        <v>32</v>
      </c>
      <c r="F550" s="58" t="s">
        <v>1140</v>
      </c>
      <c r="G550" s="68">
        <v>45636</v>
      </c>
      <c r="H550" s="57">
        <v>2200</v>
      </c>
      <c r="I550" s="61">
        <v>1800</v>
      </c>
      <c r="J550" s="69" t="s">
        <v>310</v>
      </c>
    </row>
    <row r="551" spans="1:10">
      <c r="A551" s="58">
        <v>550</v>
      </c>
      <c r="B551" s="57">
        <v>18550</v>
      </c>
      <c r="C551" s="57" t="s">
        <v>416</v>
      </c>
      <c r="D551" s="58" t="s">
        <v>492</v>
      </c>
      <c r="E551" s="57" t="s">
        <v>54</v>
      </c>
      <c r="F551" s="58" t="s">
        <v>1140</v>
      </c>
      <c r="G551" s="68">
        <v>45636</v>
      </c>
      <c r="H551" s="57">
        <v>2200</v>
      </c>
      <c r="I551" s="61">
        <v>2200</v>
      </c>
      <c r="J551" s="69" t="s">
        <v>322</v>
      </c>
    </row>
    <row r="552" spans="1:10">
      <c r="A552" s="58">
        <v>551</v>
      </c>
      <c r="B552" s="57">
        <v>18551</v>
      </c>
      <c r="C552" s="57" t="s">
        <v>36</v>
      </c>
      <c r="D552" s="57" t="s">
        <v>1153</v>
      </c>
      <c r="E552" s="57" t="s">
        <v>32</v>
      </c>
      <c r="F552" s="58" t="s">
        <v>1140</v>
      </c>
      <c r="G552" s="68">
        <v>45637</v>
      </c>
      <c r="H552" s="57">
        <v>2200</v>
      </c>
      <c r="I552" s="61">
        <v>1600</v>
      </c>
      <c r="J552" s="69" t="s">
        <v>337</v>
      </c>
    </row>
    <row r="553" spans="1:10">
      <c r="A553" s="58">
        <v>552</v>
      </c>
      <c r="B553" s="57">
        <v>18552</v>
      </c>
      <c r="C553" s="57" t="s">
        <v>1154</v>
      </c>
      <c r="D553" s="57" t="s">
        <v>945</v>
      </c>
      <c r="E553" s="57" t="s">
        <v>32</v>
      </c>
      <c r="F553" s="58" t="s">
        <v>1140</v>
      </c>
      <c r="G553" s="68">
        <v>45637</v>
      </c>
      <c r="H553" s="57">
        <v>2200</v>
      </c>
      <c r="I553" s="61">
        <v>2200</v>
      </c>
      <c r="J553" s="69" t="s">
        <v>300</v>
      </c>
    </row>
    <row r="554" spans="1:10">
      <c r="A554" s="58">
        <v>553</v>
      </c>
      <c r="B554" s="57">
        <v>18553</v>
      </c>
      <c r="C554" s="57" t="s">
        <v>1155</v>
      </c>
      <c r="D554" s="57" t="s">
        <v>498</v>
      </c>
      <c r="E554" s="57" t="s">
        <v>32</v>
      </c>
      <c r="F554" s="58" t="s">
        <v>1140</v>
      </c>
      <c r="G554" s="68">
        <v>45637</v>
      </c>
      <c r="H554" s="57">
        <v>2200</v>
      </c>
      <c r="I554" s="61">
        <v>1600</v>
      </c>
      <c r="J554" s="69" t="s">
        <v>35</v>
      </c>
    </row>
    <row r="555" spans="1:10">
      <c r="A555" s="58">
        <v>554</v>
      </c>
      <c r="B555" s="57">
        <v>18554</v>
      </c>
      <c r="C555" s="57" t="s">
        <v>467</v>
      </c>
      <c r="D555" s="57" t="s">
        <v>1156</v>
      </c>
      <c r="E555" s="57" t="s">
        <v>54</v>
      </c>
      <c r="F555" s="58" t="s">
        <v>1140</v>
      </c>
      <c r="G555" s="68">
        <v>45638</v>
      </c>
      <c r="H555" s="57">
        <v>2200</v>
      </c>
      <c r="I555" s="61">
        <v>100</v>
      </c>
      <c r="J555" s="69" t="s">
        <v>88</v>
      </c>
    </row>
    <row r="556" spans="1:10">
      <c r="A556" s="58">
        <v>555</v>
      </c>
      <c r="B556" s="57">
        <v>18555</v>
      </c>
      <c r="C556" s="57" t="s">
        <v>449</v>
      </c>
      <c r="D556" s="57" t="s">
        <v>888</v>
      </c>
      <c r="E556" s="57" t="s">
        <v>54</v>
      </c>
      <c r="F556" s="58" t="s">
        <v>1140</v>
      </c>
      <c r="G556" s="68">
        <v>45638</v>
      </c>
      <c r="H556" s="57">
        <v>2200</v>
      </c>
      <c r="I556" s="61">
        <v>2200</v>
      </c>
      <c r="J556" s="69" t="s">
        <v>306</v>
      </c>
    </row>
    <row r="557" spans="1:10">
      <c r="A557" s="58">
        <v>556</v>
      </c>
      <c r="B557" s="57">
        <v>18556</v>
      </c>
      <c r="C557" s="57" t="s">
        <v>465</v>
      </c>
      <c r="D557" s="57" t="s">
        <v>332</v>
      </c>
      <c r="E557" s="57" t="s">
        <v>32</v>
      </c>
      <c r="F557" s="58" t="s">
        <v>1140</v>
      </c>
      <c r="G557" s="68">
        <v>45638</v>
      </c>
      <c r="H557" s="57">
        <v>2200</v>
      </c>
      <c r="I557" s="61">
        <v>2200</v>
      </c>
      <c r="J557" s="69" t="s">
        <v>325</v>
      </c>
    </row>
    <row r="558" spans="1:10">
      <c r="A558" s="58">
        <v>557</v>
      </c>
      <c r="B558" s="57">
        <v>18557</v>
      </c>
      <c r="C558" s="57" t="s">
        <v>470</v>
      </c>
      <c r="D558" s="57" t="s">
        <v>1157</v>
      </c>
      <c r="E558" s="57" t="s">
        <v>54</v>
      </c>
      <c r="F558" s="58" t="s">
        <v>1140</v>
      </c>
      <c r="G558" s="68">
        <v>45639</v>
      </c>
      <c r="H558" s="57">
        <v>2200</v>
      </c>
      <c r="I558" s="61">
        <v>1600</v>
      </c>
      <c r="J558" s="69" t="s">
        <v>295</v>
      </c>
    </row>
    <row r="559" spans="1:10">
      <c r="A559" s="58">
        <v>558</v>
      </c>
      <c r="B559" s="57">
        <v>18558</v>
      </c>
      <c r="C559" s="57" t="s">
        <v>453</v>
      </c>
      <c r="D559" s="57" t="s">
        <v>332</v>
      </c>
      <c r="E559" s="57" t="s">
        <v>32</v>
      </c>
      <c r="F559" s="58" t="s">
        <v>1140</v>
      </c>
      <c r="G559" s="68">
        <v>45639</v>
      </c>
      <c r="H559" s="57">
        <v>2200</v>
      </c>
      <c r="I559" s="61">
        <v>2200</v>
      </c>
      <c r="J559" s="69" t="s">
        <v>297</v>
      </c>
    </row>
    <row r="560" spans="1:10">
      <c r="A560" s="58">
        <v>559</v>
      </c>
      <c r="B560" s="57">
        <v>18559</v>
      </c>
      <c r="C560" s="57" t="s">
        <v>458</v>
      </c>
      <c r="D560" s="58" t="s">
        <v>1158</v>
      </c>
      <c r="E560" s="57" t="s">
        <v>32</v>
      </c>
      <c r="F560" s="58" t="s">
        <v>1140</v>
      </c>
      <c r="G560" s="68">
        <v>45639</v>
      </c>
      <c r="H560" s="57">
        <v>2200</v>
      </c>
      <c r="I560" s="61">
        <v>2200</v>
      </c>
      <c r="J560" s="69" t="s">
        <v>310</v>
      </c>
    </row>
    <row r="561" spans="1:10">
      <c r="A561" s="58">
        <v>560</v>
      </c>
      <c r="B561" s="57">
        <v>18560</v>
      </c>
      <c r="C561" s="57" t="s">
        <v>460</v>
      </c>
      <c r="D561" s="57" t="s">
        <v>1159</v>
      </c>
      <c r="E561" s="57" t="s">
        <v>32</v>
      </c>
      <c r="F561" s="58" t="s">
        <v>1140</v>
      </c>
      <c r="G561" s="68">
        <v>45640</v>
      </c>
      <c r="H561" s="57">
        <v>2200</v>
      </c>
      <c r="I561" s="61">
        <v>1800</v>
      </c>
      <c r="J561" s="69" t="s">
        <v>322</v>
      </c>
    </row>
    <row r="562" spans="1:10">
      <c r="A562" s="58">
        <v>561</v>
      </c>
      <c r="B562" s="57">
        <v>18561</v>
      </c>
      <c r="C562" s="57" t="s">
        <v>468</v>
      </c>
      <c r="D562" s="57" t="s">
        <v>1160</v>
      </c>
      <c r="E562" s="57" t="s">
        <v>32</v>
      </c>
      <c r="F562" s="58" t="s">
        <v>1140</v>
      </c>
      <c r="G562" s="68">
        <v>45640</v>
      </c>
      <c r="H562" s="57">
        <v>2200</v>
      </c>
      <c r="I562" s="61">
        <v>2200</v>
      </c>
      <c r="J562" s="69" t="s">
        <v>337</v>
      </c>
    </row>
    <row r="563" spans="1:10">
      <c r="A563" s="58">
        <v>562</v>
      </c>
      <c r="B563" s="57">
        <v>18562</v>
      </c>
      <c r="C563" s="57" t="s">
        <v>447</v>
      </c>
      <c r="D563" s="57" t="s">
        <v>899</v>
      </c>
      <c r="E563" s="57" t="s">
        <v>32</v>
      </c>
      <c r="F563" s="58" t="s">
        <v>1140</v>
      </c>
      <c r="G563" s="68">
        <v>45640</v>
      </c>
      <c r="H563" s="57">
        <v>2200</v>
      </c>
      <c r="I563" s="61">
        <v>1800</v>
      </c>
      <c r="J563" s="69" t="s">
        <v>300</v>
      </c>
    </row>
    <row r="564" spans="1:10">
      <c r="A564" s="58">
        <v>563</v>
      </c>
      <c r="B564" s="57">
        <v>18563</v>
      </c>
      <c r="C564" s="57" t="s">
        <v>475</v>
      </c>
      <c r="D564" s="57" t="s">
        <v>593</v>
      </c>
      <c r="E564" s="57" t="s">
        <v>54</v>
      </c>
      <c r="F564" s="58" t="s">
        <v>1140</v>
      </c>
      <c r="G564" s="68">
        <v>45642</v>
      </c>
      <c r="H564" s="57">
        <v>2200</v>
      </c>
      <c r="I564" s="61">
        <v>1600</v>
      </c>
      <c r="J564" s="69" t="s">
        <v>35</v>
      </c>
    </row>
    <row r="565" spans="1:10">
      <c r="A565" s="58">
        <v>564</v>
      </c>
      <c r="B565" s="57">
        <v>18564</v>
      </c>
      <c r="C565" s="57" t="s">
        <v>456</v>
      </c>
      <c r="D565" s="57" t="s">
        <v>813</v>
      </c>
      <c r="E565" s="57" t="s">
        <v>54</v>
      </c>
      <c r="F565" s="58" t="s">
        <v>1140</v>
      </c>
      <c r="G565" s="68">
        <v>45642</v>
      </c>
      <c r="H565" s="57">
        <v>2200</v>
      </c>
      <c r="I565" s="61">
        <v>2200</v>
      </c>
      <c r="J565" s="69" t="s">
        <v>88</v>
      </c>
    </row>
    <row r="566" spans="1:10">
      <c r="A566" s="58">
        <v>565</v>
      </c>
      <c r="B566" s="57">
        <v>18565</v>
      </c>
      <c r="C566" s="57" t="s">
        <v>473</v>
      </c>
      <c r="D566" s="66" t="s">
        <v>491</v>
      </c>
      <c r="E566" s="57" t="s">
        <v>54</v>
      </c>
      <c r="F566" s="58" t="s">
        <v>1140</v>
      </c>
      <c r="G566" s="68">
        <v>45642</v>
      </c>
      <c r="H566" s="57">
        <v>2200</v>
      </c>
      <c r="I566" s="61">
        <v>1600</v>
      </c>
      <c r="J566" s="69" t="s">
        <v>306</v>
      </c>
    </row>
    <row r="567" spans="1:10">
      <c r="A567" s="58">
        <v>566</v>
      </c>
      <c r="B567" s="57">
        <v>18566</v>
      </c>
      <c r="C567" s="57" t="s">
        <v>445</v>
      </c>
      <c r="D567" s="57" t="s">
        <v>402</v>
      </c>
      <c r="E567" s="57" t="s">
        <v>32</v>
      </c>
      <c r="F567" s="58" t="s">
        <v>1140</v>
      </c>
      <c r="G567" s="68">
        <v>45643</v>
      </c>
      <c r="H567" s="57">
        <v>2200</v>
      </c>
      <c r="I567" s="61">
        <v>1600</v>
      </c>
      <c r="J567" s="69" t="s">
        <v>325</v>
      </c>
    </row>
    <row r="568" spans="1:10">
      <c r="A568" s="58">
        <v>567</v>
      </c>
      <c r="B568" s="57">
        <v>18567</v>
      </c>
      <c r="C568" s="57" t="s">
        <v>454</v>
      </c>
      <c r="D568" s="57" t="s">
        <v>1161</v>
      </c>
      <c r="E568" s="57" t="s">
        <v>32</v>
      </c>
      <c r="F568" s="58" t="s">
        <v>1140</v>
      </c>
      <c r="G568" s="68">
        <v>45643</v>
      </c>
      <c r="H568" s="57">
        <v>2200</v>
      </c>
      <c r="I568" s="61">
        <v>2200</v>
      </c>
      <c r="J568" s="69" t="s">
        <v>295</v>
      </c>
    </row>
    <row r="569" spans="1:10">
      <c r="A569" s="58">
        <v>568</v>
      </c>
      <c r="B569" s="57">
        <v>18568</v>
      </c>
      <c r="C569" s="57" t="s">
        <v>479</v>
      </c>
      <c r="D569" s="57" t="s">
        <v>1162</v>
      </c>
      <c r="E569" s="57" t="s">
        <v>32</v>
      </c>
      <c r="F569" s="58" t="s">
        <v>1140</v>
      </c>
      <c r="G569" s="68">
        <v>45643</v>
      </c>
      <c r="H569" s="57">
        <v>2200</v>
      </c>
      <c r="I569" s="61">
        <v>2200</v>
      </c>
      <c r="J569" s="69" t="s">
        <v>297</v>
      </c>
    </row>
    <row r="570" spans="1:10">
      <c r="A570" s="58">
        <v>569</v>
      </c>
      <c r="B570" s="57">
        <v>18569</v>
      </c>
      <c r="C570" s="57" t="s">
        <v>451</v>
      </c>
      <c r="D570" s="57" t="s">
        <v>1163</v>
      </c>
      <c r="E570" s="57" t="s">
        <v>54</v>
      </c>
      <c r="F570" s="58" t="s">
        <v>1140</v>
      </c>
      <c r="G570" s="68">
        <v>45644</v>
      </c>
      <c r="H570" s="57">
        <v>2200</v>
      </c>
      <c r="I570" s="61">
        <v>2200</v>
      </c>
      <c r="J570" s="69" t="s">
        <v>310</v>
      </c>
    </row>
    <row r="571" spans="1:10">
      <c r="A571" s="58">
        <v>570</v>
      </c>
      <c r="B571" s="57">
        <v>18570</v>
      </c>
      <c r="C571" s="57" t="s">
        <v>472</v>
      </c>
      <c r="D571" s="62" t="s">
        <v>826</v>
      </c>
      <c r="E571" s="57" t="s">
        <v>32</v>
      </c>
      <c r="F571" s="58" t="s">
        <v>1140</v>
      </c>
      <c r="G571" s="68">
        <v>45644</v>
      </c>
      <c r="H571" s="57">
        <v>2200</v>
      </c>
      <c r="I571" s="61">
        <v>1600</v>
      </c>
      <c r="J571" s="69" t="s">
        <v>322</v>
      </c>
    </row>
    <row r="572" spans="1:10">
      <c r="A572" s="58">
        <v>571</v>
      </c>
      <c r="B572" s="57">
        <v>18571</v>
      </c>
      <c r="C572" s="57" t="s">
        <v>463</v>
      </c>
      <c r="D572" s="57" t="s">
        <v>900</v>
      </c>
      <c r="E572" s="57" t="s">
        <v>32</v>
      </c>
      <c r="F572" s="58" t="s">
        <v>1140</v>
      </c>
      <c r="G572" s="68">
        <v>45644</v>
      </c>
      <c r="H572" s="57">
        <v>2200</v>
      </c>
      <c r="I572" s="61">
        <v>2200</v>
      </c>
      <c r="J572" s="69" t="s">
        <v>337</v>
      </c>
    </row>
    <row r="573" spans="1:10">
      <c r="A573" s="58">
        <v>572</v>
      </c>
      <c r="B573" s="57">
        <v>18572</v>
      </c>
      <c r="C573" s="57" t="s">
        <v>462</v>
      </c>
      <c r="D573" s="57" t="s">
        <v>500</v>
      </c>
      <c r="E573" s="57" t="s">
        <v>54</v>
      </c>
      <c r="F573" s="58" t="s">
        <v>1140</v>
      </c>
      <c r="G573" s="68">
        <v>45645</v>
      </c>
      <c r="H573" s="57">
        <v>2200</v>
      </c>
      <c r="I573" s="61">
        <v>1800</v>
      </c>
      <c r="J573" s="69" t="s">
        <v>300</v>
      </c>
    </row>
    <row r="574" spans="1:10">
      <c r="A574" s="58">
        <v>573</v>
      </c>
      <c r="B574" s="57">
        <v>18573</v>
      </c>
      <c r="C574" s="57" t="s">
        <v>477</v>
      </c>
      <c r="D574" s="57" t="s">
        <v>1164</v>
      </c>
      <c r="E574" s="57" t="s">
        <v>54</v>
      </c>
      <c r="F574" s="58" t="s">
        <v>1140</v>
      </c>
      <c r="G574" s="68">
        <v>45645</v>
      </c>
      <c r="H574" s="57">
        <v>2200</v>
      </c>
      <c r="I574" s="61">
        <v>2200</v>
      </c>
      <c r="J574" s="69" t="s">
        <v>322</v>
      </c>
    </row>
    <row r="575" spans="1:10">
      <c r="A575" s="58">
        <v>574</v>
      </c>
      <c r="B575" s="57">
        <v>18574</v>
      </c>
      <c r="C575" s="57" t="s">
        <v>481</v>
      </c>
      <c r="D575" s="57" t="s">
        <v>1165</v>
      </c>
      <c r="E575" s="57" t="s">
        <v>32</v>
      </c>
      <c r="F575" s="58" t="s">
        <v>1140</v>
      </c>
      <c r="G575" s="68">
        <v>45645</v>
      </c>
      <c r="H575" s="57">
        <v>2200</v>
      </c>
      <c r="I575" s="61">
        <v>1800</v>
      </c>
      <c r="J575" s="69" t="s">
        <v>322</v>
      </c>
    </row>
    <row r="576" spans="1:10">
      <c r="A576" s="58">
        <v>575</v>
      </c>
      <c r="B576" s="57">
        <v>18575</v>
      </c>
      <c r="C576" s="57" t="s">
        <v>439</v>
      </c>
      <c r="D576" s="57" t="s">
        <v>1166</v>
      </c>
      <c r="E576" s="57" t="s">
        <v>32</v>
      </c>
      <c r="F576" s="58" t="s">
        <v>1140</v>
      </c>
      <c r="G576" s="68">
        <v>45646</v>
      </c>
      <c r="H576" s="57">
        <v>2200</v>
      </c>
      <c r="I576" s="61">
        <v>1600</v>
      </c>
      <c r="J576" s="69" t="s">
        <v>297</v>
      </c>
    </row>
    <row r="577" spans="1:10">
      <c r="A577" s="58">
        <v>576</v>
      </c>
      <c r="B577" s="57">
        <v>18576</v>
      </c>
      <c r="C577" s="57" t="s">
        <v>1167</v>
      </c>
      <c r="D577" s="57" t="s">
        <v>1168</v>
      </c>
      <c r="E577" s="57" t="s">
        <v>32</v>
      </c>
      <c r="F577" s="58" t="s">
        <v>1140</v>
      </c>
      <c r="G577" s="68">
        <v>45646</v>
      </c>
      <c r="H577" s="57">
        <v>2200</v>
      </c>
      <c r="I577" s="61">
        <v>1600</v>
      </c>
      <c r="J577" s="69" t="s">
        <v>310</v>
      </c>
    </row>
    <row r="578" spans="1:10">
      <c r="A578" s="58">
        <v>577</v>
      </c>
      <c r="B578" s="57">
        <v>18577</v>
      </c>
      <c r="C578" s="57" t="s">
        <v>1169</v>
      </c>
      <c r="D578" s="58" t="s">
        <v>1170</v>
      </c>
      <c r="E578" s="57" t="s">
        <v>32</v>
      </c>
      <c r="F578" s="58" t="s">
        <v>1140</v>
      </c>
      <c r="G578" s="68">
        <v>45646</v>
      </c>
      <c r="H578" s="57">
        <v>2200</v>
      </c>
      <c r="I578" s="61">
        <v>2200</v>
      </c>
      <c r="J578" s="69" t="s">
        <v>297</v>
      </c>
    </row>
    <row r="579" spans="1:10">
      <c r="A579" s="58">
        <v>578</v>
      </c>
      <c r="B579" s="57">
        <v>18578</v>
      </c>
      <c r="C579" s="57" t="s">
        <v>1171</v>
      </c>
      <c r="D579" s="57" t="s">
        <v>1172</v>
      </c>
      <c r="E579" s="57" t="s">
        <v>54</v>
      </c>
      <c r="F579" s="58" t="s">
        <v>1140</v>
      </c>
      <c r="G579" s="68">
        <v>45647</v>
      </c>
      <c r="H579" s="57">
        <v>2200</v>
      </c>
      <c r="I579" s="61">
        <v>1200</v>
      </c>
      <c r="J579" s="69" t="s">
        <v>310</v>
      </c>
    </row>
    <row r="580" spans="1:10">
      <c r="A580" s="58">
        <v>579</v>
      </c>
      <c r="B580" s="57">
        <v>18579</v>
      </c>
      <c r="C580" s="57" t="s">
        <v>1173</v>
      </c>
      <c r="D580" s="57" t="s">
        <v>1174</v>
      </c>
      <c r="E580" s="57" t="s">
        <v>32</v>
      </c>
      <c r="F580" s="58" t="s">
        <v>1140</v>
      </c>
      <c r="G580" s="68">
        <v>45647</v>
      </c>
      <c r="H580" s="57">
        <v>2200</v>
      </c>
      <c r="I580" s="61">
        <v>2200</v>
      </c>
      <c r="J580" s="69" t="s">
        <v>322</v>
      </c>
    </row>
    <row r="581" spans="1:10">
      <c r="A581" s="58">
        <v>580</v>
      </c>
      <c r="B581" s="57">
        <v>18580</v>
      </c>
      <c r="C581" s="57" t="s">
        <v>527</v>
      </c>
      <c r="D581" s="57" t="s">
        <v>1147</v>
      </c>
      <c r="E581" s="57" t="s">
        <v>54</v>
      </c>
      <c r="F581" s="58" t="s">
        <v>1140</v>
      </c>
      <c r="G581" s="68">
        <v>45647</v>
      </c>
      <c r="H581" s="57">
        <v>2200</v>
      </c>
      <c r="I581" s="61">
        <v>2200</v>
      </c>
      <c r="J581" s="69" t="s">
        <v>337</v>
      </c>
    </row>
    <row r="582" spans="1:10">
      <c r="A582" s="58">
        <v>581</v>
      </c>
      <c r="B582" s="57">
        <v>18581</v>
      </c>
      <c r="C582" s="57" t="s">
        <v>1175</v>
      </c>
      <c r="D582" s="57" t="s">
        <v>1176</v>
      </c>
      <c r="E582" s="57" t="s">
        <v>54</v>
      </c>
      <c r="F582" s="58" t="s">
        <v>1140</v>
      </c>
      <c r="G582" s="68">
        <v>45649</v>
      </c>
      <c r="H582" s="57">
        <v>2200</v>
      </c>
      <c r="I582" s="61">
        <v>1600</v>
      </c>
      <c r="J582" s="69" t="s">
        <v>300</v>
      </c>
    </row>
    <row r="583" spans="1:10">
      <c r="A583" s="58">
        <v>582</v>
      </c>
      <c r="B583" s="57">
        <v>18582</v>
      </c>
      <c r="C583" s="57" t="s">
        <v>1177</v>
      </c>
      <c r="D583" s="57" t="s">
        <v>1178</v>
      </c>
      <c r="E583" s="57" t="s">
        <v>32</v>
      </c>
      <c r="F583" s="58" t="s">
        <v>1140</v>
      </c>
      <c r="G583" s="68">
        <v>45649</v>
      </c>
      <c r="H583" s="57">
        <v>2200</v>
      </c>
      <c r="I583" s="61">
        <v>2200</v>
      </c>
      <c r="J583" s="69" t="s">
        <v>35</v>
      </c>
    </row>
    <row r="584" spans="1:10">
      <c r="A584" s="58">
        <v>583</v>
      </c>
      <c r="B584" s="57">
        <v>18583</v>
      </c>
      <c r="C584" s="57" t="s">
        <v>1179</v>
      </c>
      <c r="D584" s="57" t="s">
        <v>1180</v>
      </c>
      <c r="E584" s="57" t="s">
        <v>32</v>
      </c>
      <c r="F584" s="58" t="s">
        <v>1140</v>
      </c>
      <c r="G584" s="68">
        <v>45649</v>
      </c>
      <c r="H584" s="57">
        <v>2200</v>
      </c>
      <c r="I584" s="61">
        <v>2200</v>
      </c>
      <c r="J584" s="69" t="s">
        <v>88</v>
      </c>
    </row>
    <row r="585" spans="1:10">
      <c r="A585" s="58">
        <v>584</v>
      </c>
      <c r="B585" s="57">
        <v>18584</v>
      </c>
      <c r="C585" s="57" t="s">
        <v>1181</v>
      </c>
      <c r="D585" s="57" t="s">
        <v>1182</v>
      </c>
      <c r="E585" s="57" t="s">
        <v>32</v>
      </c>
      <c r="F585" s="58" t="s">
        <v>1140</v>
      </c>
      <c r="G585" s="68">
        <v>45650</v>
      </c>
      <c r="H585" s="57">
        <v>2200</v>
      </c>
      <c r="I585" s="61">
        <v>2200</v>
      </c>
      <c r="J585" s="69" t="s">
        <v>306</v>
      </c>
    </row>
    <row r="586" spans="1:10">
      <c r="A586" s="58">
        <v>585</v>
      </c>
      <c r="B586" s="57">
        <v>18585</v>
      </c>
      <c r="C586" s="57" t="s">
        <v>751</v>
      </c>
      <c r="D586" s="57" t="s">
        <v>387</v>
      </c>
      <c r="E586" s="57" t="s">
        <v>32</v>
      </c>
      <c r="F586" s="58" t="s">
        <v>1140</v>
      </c>
      <c r="G586" s="68">
        <v>45650</v>
      </c>
      <c r="H586" s="57">
        <v>2200</v>
      </c>
      <c r="I586" s="61">
        <v>1800</v>
      </c>
      <c r="J586" s="69" t="s">
        <v>325</v>
      </c>
    </row>
    <row r="587" spans="1:10">
      <c r="A587" s="58">
        <v>586</v>
      </c>
      <c r="B587" s="57">
        <v>18586</v>
      </c>
      <c r="C587" s="57" t="s">
        <v>1183</v>
      </c>
      <c r="D587" s="57" t="s">
        <v>1184</v>
      </c>
      <c r="E587" s="57" t="s">
        <v>32</v>
      </c>
      <c r="F587" s="58" t="s">
        <v>1140</v>
      </c>
      <c r="G587" s="68">
        <v>45650</v>
      </c>
      <c r="H587" s="57">
        <v>2200</v>
      </c>
      <c r="I587" s="61">
        <v>1800</v>
      </c>
      <c r="J587" s="69" t="s">
        <v>295</v>
      </c>
    </row>
    <row r="588" spans="1:10">
      <c r="A588" s="58">
        <v>587</v>
      </c>
      <c r="B588" s="57">
        <v>18587</v>
      </c>
      <c r="C588" s="57" t="s">
        <v>1185</v>
      </c>
      <c r="D588" s="57" t="s">
        <v>1112</v>
      </c>
      <c r="E588" s="57" t="s">
        <v>54</v>
      </c>
      <c r="F588" s="58" t="s">
        <v>1140</v>
      </c>
      <c r="G588" s="68">
        <v>45651</v>
      </c>
      <c r="H588" s="57">
        <v>2200</v>
      </c>
      <c r="I588" s="61">
        <v>1600</v>
      </c>
      <c r="J588" s="69" t="s">
        <v>297</v>
      </c>
    </row>
    <row r="589" spans="1:10">
      <c r="A589" s="58">
        <v>588</v>
      </c>
      <c r="B589" s="57">
        <v>18588</v>
      </c>
      <c r="C589" s="57" t="s">
        <v>1186</v>
      </c>
      <c r="D589" s="57" t="s">
        <v>1187</v>
      </c>
      <c r="E589" s="57" t="s">
        <v>54</v>
      </c>
      <c r="F589" s="58" t="s">
        <v>1140</v>
      </c>
      <c r="G589" s="68">
        <v>45651</v>
      </c>
      <c r="H589" s="57">
        <v>2200</v>
      </c>
      <c r="I589" s="61">
        <v>1600</v>
      </c>
      <c r="J589" s="69" t="s">
        <v>310</v>
      </c>
    </row>
    <row r="590" spans="1:10">
      <c r="A590" s="58">
        <v>589</v>
      </c>
      <c r="B590" s="57">
        <v>18589</v>
      </c>
      <c r="C590" s="57" t="s">
        <v>1188</v>
      </c>
      <c r="D590" s="57" t="s">
        <v>58</v>
      </c>
      <c r="E590" s="57" t="s">
        <v>54</v>
      </c>
      <c r="F590" s="58" t="s">
        <v>1140</v>
      </c>
      <c r="G590" s="68">
        <v>45651</v>
      </c>
      <c r="H590" s="57">
        <v>2200</v>
      </c>
      <c r="I590" s="61">
        <v>2200</v>
      </c>
      <c r="J590" s="69" t="s">
        <v>322</v>
      </c>
    </row>
    <row r="591" spans="1:10">
      <c r="A591" s="58">
        <v>590</v>
      </c>
      <c r="B591" s="57">
        <v>18590</v>
      </c>
      <c r="C591" s="57" t="s">
        <v>1189</v>
      </c>
      <c r="D591" s="57" t="s">
        <v>1190</v>
      </c>
      <c r="E591" s="57" t="s">
        <v>32</v>
      </c>
      <c r="F591" s="58" t="s">
        <v>1140</v>
      </c>
      <c r="G591" s="68">
        <v>45652</v>
      </c>
      <c r="H591" s="57">
        <v>2200</v>
      </c>
      <c r="I591" s="61">
        <v>2200</v>
      </c>
      <c r="J591" s="69" t="s">
        <v>337</v>
      </c>
    </row>
    <row r="592" spans="1:10">
      <c r="A592" s="58">
        <v>591</v>
      </c>
      <c r="B592" s="57">
        <v>18591</v>
      </c>
      <c r="C592" s="57" t="s">
        <v>1191</v>
      </c>
      <c r="D592" s="57" t="s">
        <v>83</v>
      </c>
      <c r="E592" s="57" t="s">
        <v>32</v>
      </c>
      <c r="F592" s="58" t="s">
        <v>1140</v>
      </c>
      <c r="G592" s="68">
        <v>45652</v>
      </c>
      <c r="H592" s="57">
        <v>2200</v>
      </c>
      <c r="I592" s="61">
        <v>1600</v>
      </c>
      <c r="J592" s="69" t="s">
        <v>300</v>
      </c>
    </row>
    <row r="593" spans="1:10">
      <c r="A593" s="58">
        <v>592</v>
      </c>
      <c r="B593" s="57">
        <v>18592</v>
      </c>
      <c r="C593" s="57" t="s">
        <v>1192</v>
      </c>
      <c r="D593" s="58" t="s">
        <v>1193</v>
      </c>
      <c r="E593" s="57" t="s">
        <v>32</v>
      </c>
      <c r="F593" s="58" t="s">
        <v>1140</v>
      </c>
      <c r="G593" s="68">
        <v>45652</v>
      </c>
      <c r="H593" s="57">
        <v>2200</v>
      </c>
      <c r="I593" s="61">
        <v>2200</v>
      </c>
      <c r="J593" s="69" t="s">
        <v>35</v>
      </c>
    </row>
    <row r="594" spans="1:10">
      <c r="A594" s="58">
        <v>593</v>
      </c>
      <c r="B594" s="57">
        <v>18593</v>
      </c>
      <c r="C594" s="57" t="s">
        <v>1194</v>
      </c>
      <c r="D594" s="57" t="s">
        <v>900</v>
      </c>
      <c r="E594" s="57" t="s">
        <v>32</v>
      </c>
      <c r="F594" s="58" t="s">
        <v>1140</v>
      </c>
      <c r="G594" s="68">
        <v>45653</v>
      </c>
      <c r="H594" s="57">
        <v>2200</v>
      </c>
      <c r="I594" s="61">
        <v>2200</v>
      </c>
      <c r="J594" s="69" t="s">
        <v>88</v>
      </c>
    </row>
    <row r="595" spans="1:10">
      <c r="A595" s="58">
        <v>594</v>
      </c>
      <c r="B595" s="57">
        <v>18594</v>
      </c>
      <c r="C595" s="57" t="s">
        <v>872</v>
      </c>
      <c r="D595" s="57" t="s">
        <v>1195</v>
      </c>
      <c r="E595" s="57" t="s">
        <v>54</v>
      </c>
      <c r="F595" s="58" t="s">
        <v>1140</v>
      </c>
      <c r="G595" s="68">
        <v>45653</v>
      </c>
      <c r="H595" s="57">
        <v>2200</v>
      </c>
      <c r="I595" s="61">
        <v>2200</v>
      </c>
      <c r="J595" s="69" t="s">
        <v>306</v>
      </c>
    </row>
    <row r="596" spans="1:10">
      <c r="A596" s="58">
        <v>595</v>
      </c>
      <c r="B596" s="57">
        <v>18595</v>
      </c>
      <c r="C596" s="57" t="s">
        <v>1196</v>
      </c>
      <c r="D596" s="57" t="s">
        <v>1197</v>
      </c>
      <c r="E596" s="57" t="s">
        <v>32</v>
      </c>
      <c r="F596" s="58" t="s">
        <v>1140</v>
      </c>
      <c r="G596" s="68">
        <v>45653</v>
      </c>
      <c r="H596" s="57">
        <v>2200</v>
      </c>
      <c r="I596" s="61">
        <v>1600</v>
      </c>
      <c r="J596" s="69" t="s">
        <v>325</v>
      </c>
    </row>
    <row r="597" spans="1:10">
      <c r="A597" s="58">
        <v>596</v>
      </c>
      <c r="B597" s="57">
        <v>18596</v>
      </c>
      <c r="C597" s="57" t="s">
        <v>89</v>
      </c>
      <c r="D597" s="57" t="s">
        <v>1198</v>
      </c>
      <c r="E597" s="57" t="s">
        <v>54</v>
      </c>
      <c r="F597" s="58" t="s">
        <v>1140</v>
      </c>
      <c r="G597" s="68">
        <v>45654</v>
      </c>
      <c r="H597" s="57">
        <v>2200</v>
      </c>
      <c r="I597" s="61">
        <v>1800</v>
      </c>
      <c r="J597" s="69" t="s">
        <v>295</v>
      </c>
    </row>
    <row r="598" spans="1:10">
      <c r="A598" s="58">
        <v>597</v>
      </c>
      <c r="B598" s="57">
        <v>18597</v>
      </c>
      <c r="C598" s="57" t="s">
        <v>1199</v>
      </c>
      <c r="D598" s="57" t="s">
        <v>1200</v>
      </c>
      <c r="E598" s="57" t="s">
        <v>32</v>
      </c>
      <c r="F598" s="58" t="s">
        <v>1140</v>
      </c>
      <c r="G598" s="68">
        <v>45654</v>
      </c>
      <c r="H598" s="57">
        <v>2200</v>
      </c>
      <c r="I598" s="61">
        <v>1800</v>
      </c>
      <c r="J598" s="69" t="s">
        <v>297</v>
      </c>
    </row>
    <row r="599" spans="1:10">
      <c r="A599" s="58">
        <v>598</v>
      </c>
      <c r="B599" s="57">
        <v>18598</v>
      </c>
      <c r="C599" s="57" t="s">
        <v>378</v>
      </c>
      <c r="D599" s="57" t="s">
        <v>1201</v>
      </c>
      <c r="E599" s="57" t="s">
        <v>54</v>
      </c>
      <c r="F599" s="58" t="s">
        <v>1140</v>
      </c>
      <c r="G599" s="68">
        <v>45654</v>
      </c>
      <c r="H599" s="57">
        <v>2200</v>
      </c>
      <c r="I599" s="61">
        <v>2200</v>
      </c>
      <c r="J599" s="69" t="s">
        <v>310</v>
      </c>
    </row>
    <row r="600" spans="1:10">
      <c r="A600" s="58">
        <v>599</v>
      </c>
      <c r="B600" s="57">
        <v>18599</v>
      </c>
      <c r="C600" s="57" t="s">
        <v>1202</v>
      </c>
      <c r="D600" s="57" t="s">
        <v>305</v>
      </c>
      <c r="E600" s="57" t="s">
        <v>32</v>
      </c>
      <c r="F600" s="58" t="s">
        <v>1140</v>
      </c>
      <c r="G600" s="68">
        <v>45656</v>
      </c>
      <c r="H600" s="57">
        <v>2200</v>
      </c>
      <c r="I600" s="61">
        <v>1600</v>
      </c>
      <c r="J600" s="69" t="s">
        <v>322</v>
      </c>
    </row>
    <row r="601" spans="1:10">
      <c r="A601" s="58">
        <v>600</v>
      </c>
      <c r="B601" s="57">
        <v>18600</v>
      </c>
      <c r="C601" s="57" t="s">
        <v>1203</v>
      </c>
      <c r="D601" s="57" t="s">
        <v>1204</v>
      </c>
      <c r="E601" s="57" t="s">
        <v>32</v>
      </c>
      <c r="F601" s="58" t="s">
        <v>1140</v>
      </c>
      <c r="G601" s="68">
        <v>45656</v>
      </c>
      <c r="H601" s="57">
        <v>2200</v>
      </c>
      <c r="I601" s="61">
        <v>1600</v>
      </c>
      <c r="J601" s="69" t="s">
        <v>337</v>
      </c>
    </row>
    <row r="602" spans="1:10">
      <c r="A602" s="58">
        <v>601</v>
      </c>
      <c r="B602" s="57">
        <v>18601</v>
      </c>
      <c r="C602" s="57" t="s">
        <v>422</v>
      </c>
      <c r="D602" s="57" t="s">
        <v>367</v>
      </c>
      <c r="E602" s="57" t="s">
        <v>32</v>
      </c>
      <c r="F602" s="58" t="s">
        <v>1140</v>
      </c>
      <c r="G602" s="68">
        <v>45656</v>
      </c>
      <c r="H602" s="57">
        <v>2200</v>
      </c>
      <c r="I602" s="61">
        <v>2200</v>
      </c>
      <c r="J602" s="69" t="s">
        <v>300</v>
      </c>
    </row>
    <row r="603" spans="1:10">
      <c r="A603" s="58">
        <v>602</v>
      </c>
      <c r="B603" s="57">
        <v>18602</v>
      </c>
      <c r="C603" s="58" t="s">
        <v>71</v>
      </c>
      <c r="D603" s="57" t="s">
        <v>1205</v>
      </c>
      <c r="E603" s="57" t="s">
        <v>54</v>
      </c>
      <c r="F603" s="64" t="s">
        <v>73</v>
      </c>
      <c r="G603" s="68">
        <v>45657</v>
      </c>
      <c r="H603" s="57">
        <v>5500</v>
      </c>
      <c r="I603" s="61">
        <v>2500</v>
      </c>
      <c r="J603" s="69" t="s">
        <v>322</v>
      </c>
    </row>
    <row r="604" spans="1:10">
      <c r="A604" s="58">
        <v>603</v>
      </c>
      <c r="B604" s="57">
        <v>18603</v>
      </c>
      <c r="C604" s="66" t="s">
        <v>1206</v>
      </c>
      <c r="D604" s="57" t="s">
        <v>1207</v>
      </c>
      <c r="E604" s="57" t="s">
        <v>32</v>
      </c>
      <c r="F604" s="65" t="s">
        <v>294</v>
      </c>
      <c r="G604" s="68">
        <v>45657</v>
      </c>
      <c r="H604" s="57">
        <v>4400</v>
      </c>
      <c r="I604" s="61">
        <v>3800</v>
      </c>
      <c r="J604" s="69" t="s">
        <v>322</v>
      </c>
    </row>
    <row r="605" spans="1:10">
      <c r="A605" s="58">
        <v>604</v>
      </c>
      <c r="B605" s="57">
        <v>18604</v>
      </c>
      <c r="C605" s="58" t="s">
        <v>1208</v>
      </c>
      <c r="D605" s="57" t="s">
        <v>1209</v>
      </c>
      <c r="E605" s="57" t="s">
        <v>32</v>
      </c>
      <c r="F605" s="58" t="s">
        <v>1140</v>
      </c>
      <c r="G605" s="68">
        <v>45657</v>
      </c>
      <c r="H605" s="57">
        <v>2200</v>
      </c>
      <c r="I605" s="61">
        <v>2200</v>
      </c>
      <c r="J605" s="69" t="s">
        <v>297</v>
      </c>
    </row>
    <row r="606" spans="1:10">
      <c r="A606" s="58">
        <v>605</v>
      </c>
      <c r="B606" s="57">
        <v>18605</v>
      </c>
      <c r="C606" s="57" t="s">
        <v>1210</v>
      </c>
      <c r="D606" s="57" t="s">
        <v>1211</v>
      </c>
      <c r="E606" s="57" t="s">
        <v>32</v>
      </c>
      <c r="F606" s="60" t="s">
        <v>294</v>
      </c>
      <c r="G606" s="68">
        <v>45301</v>
      </c>
      <c r="H606" s="57">
        <v>4400</v>
      </c>
      <c r="I606" s="61">
        <v>3800</v>
      </c>
      <c r="J606" s="69" t="s">
        <v>310</v>
      </c>
    </row>
    <row r="607" spans="1:10">
      <c r="A607" s="58">
        <v>606</v>
      </c>
      <c r="B607" s="57">
        <v>18606</v>
      </c>
      <c r="C607" s="57" t="s">
        <v>1212</v>
      </c>
      <c r="D607" s="57" t="s">
        <v>1213</v>
      </c>
      <c r="E607" s="57" t="s">
        <v>32</v>
      </c>
      <c r="F607" s="60" t="s">
        <v>294</v>
      </c>
      <c r="G607" s="68">
        <v>45301</v>
      </c>
      <c r="H607" s="57">
        <v>4400</v>
      </c>
      <c r="I607" s="61">
        <v>3800</v>
      </c>
      <c r="J607" s="69" t="s">
        <v>310</v>
      </c>
    </row>
    <row r="608" spans="1:10">
      <c r="A608" s="58">
        <v>607</v>
      </c>
      <c r="B608" s="57">
        <v>18607</v>
      </c>
      <c r="C608" s="57" t="s">
        <v>1214</v>
      </c>
      <c r="D608" s="58" t="s">
        <v>1215</v>
      </c>
      <c r="E608" s="57" t="s">
        <v>32</v>
      </c>
      <c r="F608" s="60" t="s">
        <v>294</v>
      </c>
      <c r="G608" s="68">
        <v>45301</v>
      </c>
      <c r="H608" s="57">
        <v>4400</v>
      </c>
      <c r="I608" s="61">
        <v>4400</v>
      </c>
      <c r="J608" s="69" t="s">
        <v>325</v>
      </c>
    </row>
    <row r="609" spans="1:10">
      <c r="A609" s="58">
        <v>608</v>
      </c>
      <c r="B609" s="57">
        <v>18608</v>
      </c>
      <c r="C609" s="57" t="s">
        <v>1216</v>
      </c>
      <c r="D609" s="57" t="s">
        <v>1217</v>
      </c>
      <c r="E609" s="57" t="s">
        <v>32</v>
      </c>
      <c r="F609" s="60" t="s">
        <v>294</v>
      </c>
      <c r="G609" s="68">
        <v>45302</v>
      </c>
      <c r="H609" s="57">
        <v>4400</v>
      </c>
      <c r="I609" s="61">
        <v>4400</v>
      </c>
      <c r="J609" s="69" t="s">
        <v>295</v>
      </c>
    </row>
    <row r="610" spans="1:10">
      <c r="A610" s="58">
        <v>609</v>
      </c>
      <c r="B610" s="57">
        <v>18609</v>
      </c>
      <c r="C610" s="57" t="s">
        <v>1218</v>
      </c>
      <c r="D610" s="57" t="s">
        <v>1219</v>
      </c>
      <c r="E610" s="57" t="s">
        <v>32</v>
      </c>
      <c r="F610" s="60" t="s">
        <v>294</v>
      </c>
      <c r="G610" s="68">
        <v>45302</v>
      </c>
      <c r="H610" s="57">
        <v>4400</v>
      </c>
      <c r="I610" s="61">
        <v>4400</v>
      </c>
      <c r="J610" s="69" t="s">
        <v>297</v>
      </c>
    </row>
    <row r="611" spans="1:10">
      <c r="A611" s="58">
        <v>610</v>
      </c>
      <c r="B611" s="57">
        <v>18610</v>
      </c>
      <c r="C611" s="57" t="s">
        <v>1220</v>
      </c>
      <c r="D611" s="57" t="s">
        <v>1221</v>
      </c>
      <c r="E611" s="57" t="s">
        <v>32</v>
      </c>
      <c r="F611" s="60" t="s">
        <v>294</v>
      </c>
      <c r="G611" s="68">
        <v>45303</v>
      </c>
      <c r="H611" s="57">
        <v>4400</v>
      </c>
      <c r="I611" s="61">
        <v>4400</v>
      </c>
      <c r="J611" s="69" t="s">
        <v>310</v>
      </c>
    </row>
    <row r="612" spans="1:10">
      <c r="A612" s="58">
        <v>611</v>
      </c>
      <c r="B612" s="57">
        <v>18611</v>
      </c>
      <c r="C612" s="57" t="s">
        <v>1222</v>
      </c>
      <c r="D612" s="58" t="s">
        <v>1223</v>
      </c>
      <c r="E612" s="57" t="s">
        <v>54</v>
      </c>
      <c r="F612" s="60" t="s">
        <v>294</v>
      </c>
      <c r="G612" s="68">
        <v>45303</v>
      </c>
      <c r="H612" s="57">
        <v>4400</v>
      </c>
      <c r="I612" s="61">
        <v>4400</v>
      </c>
      <c r="J612" s="69" t="s">
        <v>322</v>
      </c>
    </row>
    <row r="613" spans="1:10">
      <c r="A613" s="58">
        <v>612</v>
      </c>
      <c r="B613" s="57">
        <v>18612</v>
      </c>
      <c r="C613" s="57" t="s">
        <v>1150</v>
      </c>
      <c r="D613" s="57" t="s">
        <v>1224</v>
      </c>
      <c r="E613" s="57" t="s">
        <v>54</v>
      </c>
      <c r="F613" s="60" t="s">
        <v>73</v>
      </c>
      <c r="G613" s="68">
        <v>45306</v>
      </c>
      <c r="H613" s="57">
        <v>5500</v>
      </c>
      <c r="I613" s="61">
        <v>5500</v>
      </c>
      <c r="J613" s="69" t="s">
        <v>337</v>
      </c>
    </row>
    <row r="614" spans="1:10">
      <c r="A614" s="58">
        <v>613</v>
      </c>
      <c r="B614" s="57">
        <v>18613</v>
      </c>
      <c r="C614" s="57" t="s">
        <v>36</v>
      </c>
      <c r="D614" s="57" t="s">
        <v>1225</v>
      </c>
      <c r="E614" s="57" t="s">
        <v>54</v>
      </c>
      <c r="F614" s="60" t="s">
        <v>73</v>
      </c>
      <c r="G614" s="68">
        <v>45306</v>
      </c>
      <c r="H614" s="57">
        <v>5500</v>
      </c>
      <c r="I614" s="61">
        <v>5500</v>
      </c>
      <c r="J614" s="69" t="s">
        <v>300</v>
      </c>
    </row>
    <row r="615" spans="1:10">
      <c r="A615" s="58">
        <v>614</v>
      </c>
      <c r="B615" s="57">
        <v>18614</v>
      </c>
      <c r="C615" s="57" t="s">
        <v>956</v>
      </c>
      <c r="D615" s="57" t="s">
        <v>1226</v>
      </c>
      <c r="E615" s="57" t="s">
        <v>54</v>
      </c>
      <c r="F615" s="60" t="s">
        <v>73</v>
      </c>
      <c r="G615" s="68">
        <v>45307</v>
      </c>
      <c r="H615" s="57">
        <v>5500</v>
      </c>
      <c r="I615" s="61">
        <v>5500</v>
      </c>
      <c r="J615" s="69" t="s">
        <v>322</v>
      </c>
    </row>
    <row r="616" spans="1:10">
      <c r="A616" s="58">
        <v>615</v>
      </c>
      <c r="B616" s="57">
        <v>18615</v>
      </c>
      <c r="C616" s="57" t="s">
        <v>1154</v>
      </c>
      <c r="D616" s="57" t="s">
        <v>537</v>
      </c>
      <c r="E616" s="57" t="s">
        <v>32</v>
      </c>
      <c r="F616" s="60" t="s">
        <v>73</v>
      </c>
      <c r="G616" s="68">
        <v>45307</v>
      </c>
      <c r="H616" s="57">
        <v>5500</v>
      </c>
      <c r="I616" s="61">
        <v>5100</v>
      </c>
      <c r="J616" s="69" t="s">
        <v>322</v>
      </c>
    </row>
    <row r="617" spans="1:10">
      <c r="A617" s="58">
        <v>616</v>
      </c>
      <c r="B617" s="57">
        <v>18616</v>
      </c>
      <c r="C617" s="57" t="s">
        <v>1155</v>
      </c>
      <c r="D617" s="57" t="s">
        <v>1198</v>
      </c>
      <c r="E617" s="57" t="s">
        <v>32</v>
      </c>
      <c r="F617" s="60" t="s">
        <v>73</v>
      </c>
      <c r="G617" s="68">
        <v>45307</v>
      </c>
      <c r="H617" s="57">
        <v>5500</v>
      </c>
      <c r="I617" s="61">
        <v>5100</v>
      </c>
      <c r="J617" s="69" t="s">
        <v>297</v>
      </c>
    </row>
    <row r="618" spans="1:10">
      <c r="A618" s="58">
        <v>617</v>
      </c>
      <c r="B618" s="57">
        <v>18617</v>
      </c>
      <c r="C618" s="57" t="s">
        <v>1227</v>
      </c>
      <c r="D618" s="57" t="s">
        <v>593</v>
      </c>
      <c r="E618" s="57" t="s">
        <v>54</v>
      </c>
      <c r="F618" s="60" t="s">
        <v>330</v>
      </c>
      <c r="G618" s="68">
        <v>45369</v>
      </c>
      <c r="H618" s="57">
        <v>3200</v>
      </c>
      <c r="I618" s="61">
        <v>2600</v>
      </c>
      <c r="J618" s="69" t="s">
        <v>310</v>
      </c>
    </row>
    <row r="619" spans="1:10">
      <c r="A619" s="58">
        <v>618</v>
      </c>
      <c r="B619" s="57">
        <v>18618</v>
      </c>
      <c r="C619" s="57" t="s">
        <v>1228</v>
      </c>
      <c r="D619" s="57" t="s">
        <v>1229</v>
      </c>
      <c r="E619" s="57" t="s">
        <v>32</v>
      </c>
      <c r="F619" s="60" t="s">
        <v>330</v>
      </c>
      <c r="G619" s="68">
        <v>45369</v>
      </c>
      <c r="H619" s="57">
        <v>3200</v>
      </c>
      <c r="I619" s="61">
        <v>2800</v>
      </c>
      <c r="J619" s="69" t="s">
        <v>297</v>
      </c>
    </row>
    <row r="620" spans="1:10">
      <c r="A620" s="58">
        <v>619</v>
      </c>
      <c r="B620" s="57">
        <v>18619</v>
      </c>
      <c r="C620" s="57" t="s">
        <v>1230</v>
      </c>
      <c r="D620" s="57" t="s">
        <v>1231</v>
      </c>
      <c r="E620" s="57" t="s">
        <v>54</v>
      </c>
      <c r="F620" s="60" t="s">
        <v>330</v>
      </c>
      <c r="G620" s="68">
        <v>45369</v>
      </c>
      <c r="H620" s="57">
        <v>3200</v>
      </c>
      <c r="I620" s="61">
        <v>2800</v>
      </c>
      <c r="J620" s="69" t="s">
        <v>310</v>
      </c>
    </row>
    <row r="621" spans="1:10">
      <c r="A621" s="58">
        <v>620</v>
      </c>
      <c r="B621" s="57">
        <v>18620</v>
      </c>
      <c r="C621" s="57" t="s">
        <v>1232</v>
      </c>
      <c r="D621" s="57" t="s">
        <v>1233</v>
      </c>
      <c r="E621" s="57" t="s">
        <v>54</v>
      </c>
      <c r="F621" s="60" t="s">
        <v>330</v>
      </c>
      <c r="G621" s="68">
        <v>45370</v>
      </c>
      <c r="H621" s="57">
        <v>3200</v>
      </c>
      <c r="I621" s="61">
        <v>2600</v>
      </c>
      <c r="J621" s="69" t="s">
        <v>322</v>
      </c>
    </row>
    <row r="622" spans="1:10">
      <c r="A622" s="58">
        <v>621</v>
      </c>
      <c r="B622" s="57">
        <v>18621</v>
      </c>
      <c r="C622" s="57" t="s">
        <v>1234</v>
      </c>
      <c r="D622" s="57" t="s">
        <v>60</v>
      </c>
      <c r="E622" s="57" t="s">
        <v>32</v>
      </c>
      <c r="F622" s="60" t="s">
        <v>330</v>
      </c>
      <c r="G622" s="68">
        <v>45370</v>
      </c>
      <c r="H622" s="57">
        <v>3200</v>
      </c>
      <c r="I622" s="61">
        <v>3200</v>
      </c>
      <c r="J622" s="69" t="s">
        <v>337</v>
      </c>
    </row>
    <row r="623" spans="1:10">
      <c r="A623" s="58">
        <v>622</v>
      </c>
      <c r="B623" s="57">
        <v>18622</v>
      </c>
      <c r="C623" s="57" t="s">
        <v>1235</v>
      </c>
      <c r="D623" s="57" t="s">
        <v>353</v>
      </c>
      <c r="E623" s="57" t="s">
        <v>32</v>
      </c>
      <c r="F623" s="60" t="s">
        <v>330</v>
      </c>
      <c r="G623" s="68">
        <v>45370</v>
      </c>
      <c r="H623" s="57">
        <v>3200</v>
      </c>
      <c r="I623" s="61">
        <v>3200</v>
      </c>
      <c r="J623" s="69" t="s">
        <v>300</v>
      </c>
    </row>
    <row r="624" spans="1:10">
      <c r="A624" s="58">
        <v>623</v>
      </c>
      <c r="B624" s="57">
        <v>18623</v>
      </c>
      <c r="C624" s="57" t="s">
        <v>1236</v>
      </c>
      <c r="D624" s="57" t="s">
        <v>1024</v>
      </c>
      <c r="E624" s="57" t="s">
        <v>32</v>
      </c>
      <c r="F624" s="60" t="s">
        <v>330</v>
      </c>
      <c r="G624" s="68">
        <v>45371</v>
      </c>
      <c r="H624" s="57">
        <v>3200</v>
      </c>
      <c r="I624" s="61">
        <v>2600</v>
      </c>
      <c r="J624" s="69" t="s">
        <v>35</v>
      </c>
    </row>
    <row r="625" spans="1:10">
      <c r="A625" s="58">
        <v>624</v>
      </c>
      <c r="B625" s="57">
        <v>18624</v>
      </c>
      <c r="C625" s="57" t="s">
        <v>1237</v>
      </c>
      <c r="D625" s="57" t="s">
        <v>1238</v>
      </c>
      <c r="E625" s="57" t="s">
        <v>32</v>
      </c>
      <c r="F625" s="60" t="s">
        <v>330</v>
      </c>
      <c r="G625" s="68">
        <v>45371</v>
      </c>
      <c r="H625" s="57">
        <v>3200</v>
      </c>
      <c r="I625" s="61">
        <v>2600</v>
      </c>
      <c r="J625" s="69" t="s">
        <v>88</v>
      </c>
    </row>
    <row r="626" spans="1:10">
      <c r="A626" s="58">
        <v>625</v>
      </c>
      <c r="B626" s="57">
        <v>18625</v>
      </c>
      <c r="C626" s="57" t="s">
        <v>1239</v>
      </c>
      <c r="D626" s="57" t="s">
        <v>1240</v>
      </c>
      <c r="E626" s="57" t="s">
        <v>32</v>
      </c>
      <c r="F626" s="60" t="s">
        <v>330</v>
      </c>
      <c r="G626" s="68">
        <v>45371</v>
      </c>
      <c r="H626" s="57">
        <v>3200</v>
      </c>
      <c r="I626" s="61">
        <v>3200</v>
      </c>
      <c r="J626" s="69" t="s">
        <v>306</v>
      </c>
    </row>
    <row r="627" spans="1:10">
      <c r="A627" s="58">
        <v>626</v>
      </c>
      <c r="B627" s="57">
        <v>18626</v>
      </c>
      <c r="C627" s="57" t="s">
        <v>1241</v>
      </c>
      <c r="D627" s="57" t="s">
        <v>1242</v>
      </c>
      <c r="E627" s="57" t="s">
        <v>54</v>
      </c>
      <c r="F627" s="60" t="s">
        <v>330</v>
      </c>
      <c r="G627" s="68">
        <v>45372</v>
      </c>
      <c r="H627" s="57">
        <v>3200</v>
      </c>
      <c r="I627" s="61">
        <v>1500</v>
      </c>
      <c r="J627" s="69" t="s">
        <v>325</v>
      </c>
    </row>
    <row r="628" spans="1:10">
      <c r="A628" s="58">
        <v>627</v>
      </c>
      <c r="B628" s="57">
        <v>18627</v>
      </c>
      <c r="C628" s="57" t="s">
        <v>1243</v>
      </c>
      <c r="D628" s="57" t="s">
        <v>1244</v>
      </c>
      <c r="E628" s="57" t="s">
        <v>54</v>
      </c>
      <c r="F628" s="60" t="s">
        <v>330</v>
      </c>
      <c r="G628" s="68">
        <v>45372</v>
      </c>
      <c r="H628" s="57">
        <v>3200</v>
      </c>
      <c r="I628" s="61">
        <v>3200</v>
      </c>
      <c r="J628" s="69" t="s">
        <v>295</v>
      </c>
    </row>
    <row r="629" spans="1:10">
      <c r="A629" s="58">
        <v>628</v>
      </c>
      <c r="B629" s="57">
        <v>18628</v>
      </c>
      <c r="C629" s="57" t="s">
        <v>1245</v>
      </c>
      <c r="D629" s="57" t="s">
        <v>1246</v>
      </c>
      <c r="E629" s="57" t="s">
        <v>54</v>
      </c>
      <c r="F629" s="60" t="s">
        <v>330</v>
      </c>
      <c r="G629" s="68">
        <v>45376</v>
      </c>
      <c r="H629" s="57">
        <v>3200</v>
      </c>
      <c r="I629" s="61">
        <v>3200</v>
      </c>
      <c r="J629" s="69" t="s">
        <v>297</v>
      </c>
    </row>
    <row r="630" spans="1:10">
      <c r="A630" s="58">
        <v>629</v>
      </c>
      <c r="B630" s="57">
        <v>18629</v>
      </c>
      <c r="C630" s="57" t="s">
        <v>1247</v>
      </c>
      <c r="D630" s="57" t="s">
        <v>1248</v>
      </c>
      <c r="E630" s="57" t="s">
        <v>32</v>
      </c>
      <c r="F630" s="60" t="s">
        <v>431</v>
      </c>
      <c r="G630" s="68">
        <v>45391</v>
      </c>
      <c r="H630" s="57">
        <v>1800</v>
      </c>
      <c r="I630" s="61">
        <v>1200</v>
      </c>
      <c r="J630" s="69" t="s">
        <v>310</v>
      </c>
    </row>
    <row r="631" spans="1:10">
      <c r="A631" s="58">
        <v>630</v>
      </c>
      <c r="B631" s="57">
        <v>18630</v>
      </c>
      <c r="C631" s="57" t="s">
        <v>1249</v>
      </c>
      <c r="D631" s="57" t="s">
        <v>503</v>
      </c>
      <c r="E631" s="57" t="s">
        <v>54</v>
      </c>
      <c r="F631" s="60" t="s">
        <v>390</v>
      </c>
      <c r="G631" s="68">
        <v>45425</v>
      </c>
      <c r="H631" s="57">
        <v>7500</v>
      </c>
      <c r="I631" s="61">
        <v>7500</v>
      </c>
      <c r="J631" s="69" t="s">
        <v>297</v>
      </c>
    </row>
    <row r="632" spans="1:10">
      <c r="A632" s="58">
        <v>631</v>
      </c>
      <c r="B632" s="57">
        <v>18631</v>
      </c>
      <c r="C632" s="57" t="s">
        <v>1250</v>
      </c>
      <c r="D632" s="57" t="s">
        <v>1251</v>
      </c>
      <c r="E632" s="57" t="s">
        <v>54</v>
      </c>
      <c r="F632" s="60" t="s">
        <v>390</v>
      </c>
      <c r="G632" s="68">
        <v>45425</v>
      </c>
      <c r="H632" s="57">
        <v>7500</v>
      </c>
      <c r="I632" s="61">
        <v>7500</v>
      </c>
      <c r="J632" s="69" t="s">
        <v>310</v>
      </c>
    </row>
    <row r="633" spans="1:10">
      <c r="A633" s="58">
        <v>632</v>
      </c>
      <c r="B633" s="57">
        <v>18632</v>
      </c>
      <c r="C633" s="57" t="s">
        <v>1252</v>
      </c>
      <c r="D633" s="57" t="s">
        <v>916</v>
      </c>
      <c r="E633" s="57" t="s">
        <v>32</v>
      </c>
      <c r="F633" s="60" t="s">
        <v>390</v>
      </c>
      <c r="G633" s="68">
        <v>45425</v>
      </c>
      <c r="H633" s="57">
        <v>7500</v>
      </c>
      <c r="I633" s="61">
        <v>7500</v>
      </c>
      <c r="J633" s="69" t="s">
        <v>322</v>
      </c>
    </row>
    <row r="634" spans="1:10">
      <c r="A634" s="58">
        <v>633</v>
      </c>
      <c r="B634" s="57">
        <v>18633</v>
      </c>
      <c r="C634" s="57" t="s">
        <v>1253</v>
      </c>
      <c r="D634" s="57" t="s">
        <v>1254</v>
      </c>
      <c r="E634" s="57" t="s">
        <v>54</v>
      </c>
      <c r="F634" s="60" t="s">
        <v>390</v>
      </c>
      <c r="G634" s="68">
        <v>45426</v>
      </c>
      <c r="H634" s="57">
        <v>7500</v>
      </c>
      <c r="I634" s="61">
        <v>6900</v>
      </c>
      <c r="J634" s="69" t="s">
        <v>337</v>
      </c>
    </row>
    <row r="635" spans="1:10">
      <c r="A635" s="58">
        <v>634</v>
      </c>
      <c r="B635" s="57">
        <v>18634</v>
      </c>
      <c r="C635" s="57" t="s">
        <v>842</v>
      </c>
      <c r="D635" s="57" t="s">
        <v>1255</v>
      </c>
      <c r="E635" s="57" t="s">
        <v>32</v>
      </c>
      <c r="F635" s="60" t="s">
        <v>390</v>
      </c>
      <c r="G635" s="68">
        <v>45426</v>
      </c>
      <c r="H635" s="57">
        <v>7500</v>
      </c>
      <c r="I635" s="61">
        <v>7500</v>
      </c>
      <c r="J635" s="69" t="s">
        <v>300</v>
      </c>
    </row>
    <row r="636" spans="1:10">
      <c r="A636" s="58">
        <v>635</v>
      </c>
      <c r="B636" s="57">
        <v>18635</v>
      </c>
      <c r="C636" s="57" t="s">
        <v>1256</v>
      </c>
      <c r="D636" s="57" t="s">
        <v>1257</v>
      </c>
      <c r="E636" s="57" t="s">
        <v>32</v>
      </c>
      <c r="F636" s="60" t="s">
        <v>390</v>
      </c>
      <c r="G636" s="68">
        <v>45426</v>
      </c>
      <c r="H636" s="57">
        <v>7500</v>
      </c>
      <c r="I636" s="61">
        <v>6900</v>
      </c>
      <c r="J636" s="69" t="s">
        <v>322</v>
      </c>
    </row>
    <row r="637" spans="1:10">
      <c r="A637" s="58">
        <v>636</v>
      </c>
      <c r="B637" s="57">
        <v>18636</v>
      </c>
      <c r="C637" s="57" t="s">
        <v>1258</v>
      </c>
      <c r="D637" s="57" t="s">
        <v>503</v>
      </c>
      <c r="E637" s="57" t="s">
        <v>32</v>
      </c>
      <c r="F637" s="60" t="s">
        <v>390</v>
      </c>
      <c r="G637" s="68">
        <v>45427</v>
      </c>
      <c r="H637" s="57">
        <v>7500</v>
      </c>
      <c r="I637" s="61">
        <v>1500</v>
      </c>
      <c r="J637" s="69" t="s">
        <v>322</v>
      </c>
    </row>
    <row r="638" spans="1:10">
      <c r="A638" s="58">
        <v>637</v>
      </c>
      <c r="B638" s="57">
        <v>18637</v>
      </c>
      <c r="C638" s="57" t="s">
        <v>1259</v>
      </c>
      <c r="D638" s="57" t="s">
        <v>1260</v>
      </c>
      <c r="E638" s="57" t="s">
        <v>32</v>
      </c>
      <c r="F638" s="60" t="s">
        <v>390</v>
      </c>
      <c r="G638" s="68">
        <v>45427</v>
      </c>
      <c r="H638" s="57">
        <v>7500</v>
      </c>
      <c r="I638" s="61">
        <v>7500</v>
      </c>
      <c r="J638" s="69" t="s">
        <v>297</v>
      </c>
    </row>
    <row r="639" spans="1:10">
      <c r="A639" s="58">
        <v>638</v>
      </c>
      <c r="B639" s="57">
        <v>18638</v>
      </c>
      <c r="C639" s="57" t="s">
        <v>1261</v>
      </c>
      <c r="D639" s="57" t="s">
        <v>1262</v>
      </c>
      <c r="E639" s="57" t="s">
        <v>32</v>
      </c>
      <c r="F639" s="60" t="s">
        <v>390</v>
      </c>
      <c r="G639" s="68">
        <v>45427</v>
      </c>
      <c r="H639" s="57">
        <v>7500</v>
      </c>
      <c r="I639" s="61">
        <v>7500</v>
      </c>
      <c r="J639" s="69" t="s">
        <v>310</v>
      </c>
    </row>
    <row r="640" spans="1:10">
      <c r="A640" s="58">
        <v>639</v>
      </c>
      <c r="B640" s="57">
        <v>18639</v>
      </c>
      <c r="C640" s="57" t="s">
        <v>1263</v>
      </c>
      <c r="D640" s="57" t="s">
        <v>1264</v>
      </c>
      <c r="E640" s="57" t="s">
        <v>54</v>
      </c>
      <c r="F640" s="60" t="s">
        <v>390</v>
      </c>
      <c r="G640" s="68">
        <v>45428</v>
      </c>
      <c r="H640" s="57">
        <v>7500</v>
      </c>
      <c r="I640" s="61">
        <v>6900</v>
      </c>
      <c r="J640" s="69" t="s">
        <v>310</v>
      </c>
    </row>
    <row r="641" spans="1:10">
      <c r="A641" s="58">
        <v>640</v>
      </c>
      <c r="B641" s="57">
        <v>18640</v>
      </c>
      <c r="C641" s="57" t="s">
        <v>1265</v>
      </c>
      <c r="D641" s="57" t="s">
        <v>1266</v>
      </c>
      <c r="E641" s="57" t="s">
        <v>54</v>
      </c>
      <c r="F641" s="60" t="s">
        <v>390</v>
      </c>
      <c r="G641" s="68">
        <v>45428</v>
      </c>
      <c r="H641" s="57">
        <v>7500</v>
      </c>
      <c r="I641" s="61">
        <v>6900</v>
      </c>
      <c r="J641" s="69" t="s">
        <v>325</v>
      </c>
    </row>
    <row r="642" spans="1:10">
      <c r="A642" s="58">
        <v>641</v>
      </c>
      <c r="B642" s="57">
        <v>18641</v>
      </c>
      <c r="C642" s="57" t="s">
        <v>1267</v>
      </c>
      <c r="D642" s="57" t="s">
        <v>1268</v>
      </c>
      <c r="E642" s="57" t="s">
        <v>54</v>
      </c>
      <c r="F642" s="60" t="s">
        <v>390</v>
      </c>
      <c r="G642" s="68">
        <v>45428</v>
      </c>
      <c r="H642" s="57">
        <v>7500</v>
      </c>
      <c r="I642" s="61">
        <v>7100</v>
      </c>
      <c r="J642" s="69" t="s">
        <v>295</v>
      </c>
    </row>
    <row r="643" spans="1:10">
      <c r="A643" s="58">
        <v>642</v>
      </c>
      <c r="B643" s="57">
        <v>18642</v>
      </c>
      <c r="C643" s="57" t="s">
        <v>1269</v>
      </c>
      <c r="D643" s="57" t="s">
        <v>1270</v>
      </c>
      <c r="E643" s="57" t="s">
        <v>32</v>
      </c>
      <c r="F643" s="60" t="s">
        <v>390</v>
      </c>
      <c r="G643" s="68">
        <v>45429</v>
      </c>
      <c r="H643" s="57">
        <v>7500</v>
      </c>
      <c r="I643" s="61">
        <v>7500</v>
      </c>
      <c r="J643" s="69" t="s">
        <v>297</v>
      </c>
    </row>
    <row r="644" spans="1:10">
      <c r="A644" s="58">
        <v>643</v>
      </c>
      <c r="B644" s="57">
        <v>18643</v>
      </c>
      <c r="C644" s="57" t="s">
        <v>1271</v>
      </c>
      <c r="D644" s="57" t="s">
        <v>60</v>
      </c>
      <c r="E644" s="57" t="s">
        <v>32</v>
      </c>
      <c r="F644" s="60" t="s">
        <v>390</v>
      </c>
      <c r="G644" s="68">
        <v>45429</v>
      </c>
      <c r="H644" s="57">
        <v>7500</v>
      </c>
      <c r="I644" s="61">
        <v>7500</v>
      </c>
      <c r="J644" s="69" t="s">
        <v>310</v>
      </c>
    </row>
    <row r="645" spans="1:10">
      <c r="A645" s="58">
        <v>644</v>
      </c>
      <c r="B645" s="57">
        <v>18644</v>
      </c>
      <c r="C645" s="57" t="s">
        <v>1272</v>
      </c>
      <c r="D645" s="57" t="s">
        <v>528</v>
      </c>
      <c r="E645" s="57" t="s">
        <v>32</v>
      </c>
      <c r="F645" s="60" t="s">
        <v>390</v>
      </c>
      <c r="G645" s="68">
        <v>45429</v>
      </c>
      <c r="H645" s="57">
        <v>7500</v>
      </c>
      <c r="I645" s="61">
        <v>7500</v>
      </c>
      <c r="J645" s="69" t="s">
        <v>322</v>
      </c>
    </row>
    <row r="646" spans="1:10">
      <c r="A646" s="58">
        <v>645</v>
      </c>
      <c r="B646" s="57">
        <v>18645</v>
      </c>
      <c r="C646" s="57" t="s">
        <v>1273</v>
      </c>
      <c r="D646" s="57" t="s">
        <v>860</v>
      </c>
      <c r="E646" s="57" t="s">
        <v>32</v>
      </c>
      <c r="F646" s="60" t="s">
        <v>390</v>
      </c>
      <c r="G646" s="68">
        <v>45430</v>
      </c>
      <c r="H646" s="57">
        <v>7500</v>
      </c>
      <c r="I646" s="61">
        <v>6900</v>
      </c>
      <c r="J646" s="69" t="s">
        <v>337</v>
      </c>
    </row>
    <row r="647" spans="1:10">
      <c r="A647" s="58">
        <v>646</v>
      </c>
      <c r="B647" s="57">
        <v>18646</v>
      </c>
      <c r="C647" s="57" t="s">
        <v>1274</v>
      </c>
      <c r="D647" s="57" t="s">
        <v>58</v>
      </c>
      <c r="E647" s="57" t="s">
        <v>54</v>
      </c>
      <c r="F647" s="60" t="s">
        <v>390</v>
      </c>
      <c r="G647" s="68">
        <v>45430</v>
      </c>
      <c r="H647" s="57">
        <v>7500</v>
      </c>
      <c r="I647" s="61">
        <v>7500</v>
      </c>
      <c r="J647" s="69" t="s">
        <v>297</v>
      </c>
    </row>
    <row r="648" spans="1:10">
      <c r="A648" s="58">
        <v>647</v>
      </c>
      <c r="B648" s="57">
        <v>18647</v>
      </c>
      <c r="C648" s="57" t="s">
        <v>1275</v>
      </c>
      <c r="D648" s="58" t="s">
        <v>1276</v>
      </c>
      <c r="E648" s="57" t="s">
        <v>32</v>
      </c>
      <c r="F648" s="60" t="s">
        <v>390</v>
      </c>
      <c r="G648" s="68">
        <v>45430</v>
      </c>
      <c r="H648" s="57">
        <v>7500</v>
      </c>
      <c r="I648" s="61">
        <v>6900</v>
      </c>
      <c r="J648" s="69" t="s">
        <v>310</v>
      </c>
    </row>
    <row r="649" spans="1:10">
      <c r="A649" s="58">
        <v>648</v>
      </c>
      <c r="B649" s="57">
        <v>18648</v>
      </c>
      <c r="C649" s="57" t="s">
        <v>1150</v>
      </c>
      <c r="D649" s="57" t="s">
        <v>1277</v>
      </c>
      <c r="E649" s="57" t="s">
        <v>32</v>
      </c>
      <c r="F649" s="60" t="s">
        <v>294</v>
      </c>
      <c r="G649" s="68">
        <v>45547</v>
      </c>
      <c r="H649" s="57">
        <v>4400</v>
      </c>
      <c r="I649" s="61">
        <v>4400</v>
      </c>
      <c r="J649" s="69" t="s">
        <v>322</v>
      </c>
    </row>
    <row r="650" spans="1:10">
      <c r="A650" s="58">
        <v>649</v>
      </c>
      <c r="B650" s="57">
        <v>18649</v>
      </c>
      <c r="C650" s="57" t="s">
        <v>956</v>
      </c>
      <c r="D650" s="57" t="s">
        <v>1278</v>
      </c>
      <c r="E650" s="57" t="s">
        <v>54</v>
      </c>
      <c r="F650" s="60" t="s">
        <v>294</v>
      </c>
      <c r="G650" s="68">
        <v>45554</v>
      </c>
      <c r="H650" s="57">
        <v>4400</v>
      </c>
      <c r="I650" s="61">
        <v>3800</v>
      </c>
      <c r="J650" s="69" t="s">
        <v>337</v>
      </c>
    </row>
    <row r="651" spans="1:10">
      <c r="A651" s="58">
        <v>650</v>
      </c>
      <c r="B651" s="57">
        <v>18650</v>
      </c>
      <c r="C651" s="57" t="s">
        <v>1155</v>
      </c>
      <c r="D651" s="57" t="s">
        <v>516</v>
      </c>
      <c r="E651" s="57" t="s">
        <v>32</v>
      </c>
      <c r="F651" s="60" t="s">
        <v>294</v>
      </c>
      <c r="G651" s="68">
        <v>45555</v>
      </c>
      <c r="H651" s="57">
        <v>4400</v>
      </c>
      <c r="I651" s="61">
        <v>3800</v>
      </c>
      <c r="J651" s="69" t="s">
        <v>300</v>
      </c>
    </row>
    <row r="652" spans="1:10">
      <c r="A652" s="58">
        <v>651</v>
      </c>
      <c r="B652" s="57">
        <v>18651</v>
      </c>
      <c r="C652" s="57" t="s">
        <v>36</v>
      </c>
      <c r="D652" s="57" t="s">
        <v>503</v>
      </c>
      <c r="E652" s="57" t="s">
        <v>32</v>
      </c>
      <c r="F652" s="60" t="s">
        <v>294</v>
      </c>
      <c r="G652" s="68">
        <v>45562</v>
      </c>
      <c r="H652" s="57">
        <v>4400</v>
      </c>
      <c r="I652" s="61">
        <v>4400</v>
      </c>
      <c r="J652" s="69" t="s">
        <v>322</v>
      </c>
    </row>
    <row r="653" spans="1:10">
      <c r="A653" s="58">
        <v>652</v>
      </c>
      <c r="B653" s="57">
        <v>18652</v>
      </c>
      <c r="C653" s="57" t="s">
        <v>1154</v>
      </c>
      <c r="D653" s="57" t="s">
        <v>446</v>
      </c>
      <c r="E653" s="57" t="s">
        <v>32</v>
      </c>
      <c r="F653" s="60" t="s">
        <v>294</v>
      </c>
      <c r="G653" s="68">
        <v>45562</v>
      </c>
      <c r="H653" s="57">
        <v>4400</v>
      </c>
      <c r="I653" s="61">
        <v>1800</v>
      </c>
      <c r="J653" s="69" t="s">
        <v>322</v>
      </c>
    </row>
    <row r="654" spans="1:10">
      <c r="A654" s="58">
        <v>653</v>
      </c>
      <c r="B654" s="57">
        <v>18653</v>
      </c>
      <c r="C654" s="58" t="s">
        <v>89</v>
      </c>
      <c r="D654" s="57" t="s">
        <v>609</v>
      </c>
      <c r="E654" s="57" t="s">
        <v>32</v>
      </c>
      <c r="F654" s="60" t="s">
        <v>390</v>
      </c>
      <c r="G654" s="68">
        <v>45587</v>
      </c>
      <c r="H654" s="57">
        <v>7500</v>
      </c>
      <c r="I654" s="61">
        <v>7500</v>
      </c>
      <c r="J654" s="69" t="s">
        <v>297</v>
      </c>
    </row>
    <row r="655" spans="1:10">
      <c r="A655" s="58">
        <v>654</v>
      </c>
      <c r="B655" s="57">
        <v>18654</v>
      </c>
      <c r="C655" s="58" t="s">
        <v>1279</v>
      </c>
      <c r="D655" s="57" t="s">
        <v>1280</v>
      </c>
      <c r="E655" s="57" t="s">
        <v>32</v>
      </c>
      <c r="F655" s="64" t="s">
        <v>73</v>
      </c>
      <c r="G655" s="68">
        <v>45609</v>
      </c>
      <c r="H655" s="57">
        <v>5500</v>
      </c>
      <c r="I655" s="61">
        <v>4900</v>
      </c>
      <c r="J655" s="69" t="s">
        <v>310</v>
      </c>
    </row>
    <row r="656" spans="1:10">
      <c r="A656" s="58">
        <v>655</v>
      </c>
      <c r="B656" s="57">
        <v>18655</v>
      </c>
      <c r="C656" s="58" t="s">
        <v>1281</v>
      </c>
      <c r="D656" s="57" t="s">
        <v>1282</v>
      </c>
      <c r="E656" s="57" t="s">
        <v>32</v>
      </c>
      <c r="F656" s="64" t="s">
        <v>73</v>
      </c>
      <c r="G656" s="68">
        <v>45628</v>
      </c>
      <c r="H656" s="57">
        <v>5500</v>
      </c>
      <c r="I656" s="61">
        <v>4900</v>
      </c>
      <c r="J656" s="69" t="s">
        <v>310</v>
      </c>
    </row>
    <row r="657" spans="1:10">
      <c r="A657" s="58">
        <v>656</v>
      </c>
      <c r="B657" s="57">
        <v>18656</v>
      </c>
      <c r="C657" s="58" t="s">
        <v>57</v>
      </c>
      <c r="D657" s="57" t="s">
        <v>387</v>
      </c>
      <c r="E657" s="57" t="s">
        <v>32</v>
      </c>
      <c r="F657" s="64" t="s">
        <v>73</v>
      </c>
      <c r="G657" s="68">
        <v>45628</v>
      </c>
      <c r="H657" s="57">
        <v>5500</v>
      </c>
      <c r="I657" s="61">
        <v>4900</v>
      </c>
      <c r="J657" s="69" t="s">
        <v>325</v>
      </c>
    </row>
    <row r="658" spans="1:10">
      <c r="A658" s="58">
        <v>657</v>
      </c>
      <c r="B658" s="57">
        <v>18657</v>
      </c>
      <c r="C658" s="57" t="s">
        <v>405</v>
      </c>
      <c r="D658" s="57" t="s">
        <v>1283</v>
      </c>
      <c r="E658" s="57" t="s">
        <v>32</v>
      </c>
      <c r="F658" s="60" t="s">
        <v>294</v>
      </c>
      <c r="G658" s="68">
        <v>45299</v>
      </c>
      <c r="H658" s="57">
        <v>4400</v>
      </c>
      <c r="I658" s="61">
        <v>4400</v>
      </c>
      <c r="J658" s="69" t="s">
        <v>295</v>
      </c>
    </row>
    <row r="659" spans="1:10">
      <c r="A659" s="58">
        <v>658</v>
      </c>
      <c r="B659" s="57">
        <v>18658</v>
      </c>
      <c r="C659" s="57" t="s">
        <v>1284</v>
      </c>
      <c r="D659" s="57" t="s">
        <v>1285</v>
      </c>
      <c r="E659" s="57" t="s">
        <v>54</v>
      </c>
      <c r="F659" s="60" t="s">
        <v>294</v>
      </c>
      <c r="G659" s="68">
        <v>45299</v>
      </c>
      <c r="H659" s="57">
        <v>4400</v>
      </c>
      <c r="I659" s="61">
        <v>4400</v>
      </c>
      <c r="J659" s="69" t="s">
        <v>297</v>
      </c>
    </row>
    <row r="660" spans="1:10">
      <c r="A660" s="58">
        <v>659</v>
      </c>
      <c r="B660" s="57">
        <v>18659</v>
      </c>
      <c r="C660" s="57" t="s">
        <v>1286</v>
      </c>
      <c r="D660" s="57" t="s">
        <v>1287</v>
      </c>
      <c r="E660" s="57" t="s">
        <v>54</v>
      </c>
      <c r="F660" s="60" t="s">
        <v>294</v>
      </c>
      <c r="G660" s="68">
        <v>45300</v>
      </c>
      <c r="H660" s="57">
        <v>4400</v>
      </c>
      <c r="I660" s="61">
        <v>4000</v>
      </c>
      <c r="J660" s="69" t="s">
        <v>310</v>
      </c>
    </row>
    <row r="661" spans="1:10">
      <c r="A661" s="58">
        <v>660</v>
      </c>
      <c r="B661" s="57">
        <v>18660</v>
      </c>
      <c r="C661" s="57" t="s">
        <v>1288</v>
      </c>
      <c r="D661" s="57" t="s">
        <v>677</v>
      </c>
      <c r="E661" s="57" t="s">
        <v>54</v>
      </c>
      <c r="F661" s="60" t="s">
        <v>294</v>
      </c>
      <c r="G661" s="68">
        <v>45300</v>
      </c>
      <c r="H661" s="57">
        <v>4400</v>
      </c>
      <c r="I661" s="61">
        <v>4000</v>
      </c>
      <c r="J661" s="69" t="s">
        <v>322</v>
      </c>
    </row>
    <row r="662" spans="1:10">
      <c r="A662" s="58">
        <v>661</v>
      </c>
      <c r="B662" s="57">
        <v>18661</v>
      </c>
      <c r="C662" s="57" t="s">
        <v>1189</v>
      </c>
      <c r="D662" s="57" t="s">
        <v>1289</v>
      </c>
      <c r="E662" s="57" t="s">
        <v>32</v>
      </c>
      <c r="F662" s="60" t="s">
        <v>73</v>
      </c>
      <c r="G662" s="68">
        <v>45308</v>
      </c>
      <c r="H662" s="57">
        <v>5500</v>
      </c>
      <c r="I662" s="61">
        <v>4900</v>
      </c>
      <c r="J662" s="69" t="s">
        <v>337</v>
      </c>
    </row>
    <row r="663" spans="1:10">
      <c r="A663" s="58">
        <v>662</v>
      </c>
      <c r="B663" s="57">
        <v>18662</v>
      </c>
      <c r="C663" s="57" t="s">
        <v>1192</v>
      </c>
      <c r="D663" s="58" t="s">
        <v>1290</v>
      </c>
      <c r="E663" s="57" t="s">
        <v>32</v>
      </c>
      <c r="F663" s="60" t="s">
        <v>73</v>
      </c>
      <c r="G663" s="68">
        <v>45330</v>
      </c>
      <c r="H663" s="57">
        <v>5500</v>
      </c>
      <c r="I663" s="61">
        <v>5100</v>
      </c>
      <c r="J663" s="69" t="s">
        <v>35</v>
      </c>
    </row>
    <row r="664" spans="1:10">
      <c r="A664" s="58">
        <v>663</v>
      </c>
      <c r="B664" s="57">
        <v>18663</v>
      </c>
      <c r="C664" s="57" t="s">
        <v>1291</v>
      </c>
      <c r="D664" s="57" t="s">
        <v>1292</v>
      </c>
      <c r="E664" s="57" t="s">
        <v>54</v>
      </c>
      <c r="F664" s="60" t="s">
        <v>330</v>
      </c>
      <c r="G664" s="68">
        <v>45353</v>
      </c>
      <c r="H664" s="57">
        <v>3200</v>
      </c>
      <c r="I664" s="61">
        <v>3200</v>
      </c>
      <c r="J664" s="69" t="s">
        <v>88</v>
      </c>
    </row>
    <row r="665" spans="1:10">
      <c r="A665" s="58">
        <v>664</v>
      </c>
      <c r="B665" s="57">
        <v>18664</v>
      </c>
      <c r="C665" s="57" t="s">
        <v>1293</v>
      </c>
      <c r="D665" s="58" t="s">
        <v>1294</v>
      </c>
      <c r="E665" s="57" t="s">
        <v>54</v>
      </c>
      <c r="F665" s="60" t="s">
        <v>330</v>
      </c>
      <c r="G665" s="68">
        <v>45355</v>
      </c>
      <c r="H665" s="57">
        <v>3200</v>
      </c>
      <c r="I665" s="61">
        <v>3200</v>
      </c>
      <c r="J665" s="69" t="s">
        <v>295</v>
      </c>
    </row>
    <row r="666" spans="1:10">
      <c r="A666" s="58">
        <v>665</v>
      </c>
      <c r="B666" s="57">
        <v>18665</v>
      </c>
      <c r="C666" s="57" t="s">
        <v>992</v>
      </c>
      <c r="D666" s="57" t="s">
        <v>1295</v>
      </c>
      <c r="E666" s="57" t="s">
        <v>32</v>
      </c>
      <c r="F666" s="60" t="s">
        <v>330</v>
      </c>
      <c r="G666" s="68">
        <v>45356</v>
      </c>
      <c r="H666" s="57">
        <v>3200</v>
      </c>
      <c r="I666" s="61">
        <v>450</v>
      </c>
      <c r="J666" s="69" t="s">
        <v>297</v>
      </c>
    </row>
    <row r="667" spans="1:10">
      <c r="A667" s="58">
        <v>666</v>
      </c>
      <c r="B667" s="57">
        <v>18666</v>
      </c>
      <c r="C667" s="57" t="s">
        <v>1296</v>
      </c>
      <c r="D667" s="57" t="s">
        <v>1297</v>
      </c>
      <c r="E667" s="57" t="s">
        <v>54</v>
      </c>
      <c r="F667" s="60" t="s">
        <v>330</v>
      </c>
      <c r="G667" s="68">
        <v>45356</v>
      </c>
      <c r="H667" s="57">
        <v>3200</v>
      </c>
      <c r="I667" s="61">
        <v>3200</v>
      </c>
      <c r="J667" s="69" t="s">
        <v>39</v>
      </c>
    </row>
    <row r="668" spans="1:10">
      <c r="A668" s="58">
        <v>667</v>
      </c>
      <c r="B668" s="57">
        <v>18667</v>
      </c>
      <c r="C668" s="57" t="s">
        <v>1298</v>
      </c>
      <c r="D668" s="57" t="s">
        <v>1299</v>
      </c>
      <c r="E668" s="57" t="s">
        <v>32</v>
      </c>
      <c r="F668" s="60" t="s">
        <v>330</v>
      </c>
      <c r="G668" s="68">
        <v>45356</v>
      </c>
      <c r="H668" s="57">
        <v>3200</v>
      </c>
      <c r="I668" s="61">
        <v>2800</v>
      </c>
      <c r="J668" s="69" t="s">
        <v>299</v>
      </c>
    </row>
    <row r="669" spans="1:10">
      <c r="A669" s="58">
        <v>668</v>
      </c>
      <c r="B669" s="57">
        <v>18668</v>
      </c>
      <c r="C669" s="57" t="s">
        <v>1300</v>
      </c>
      <c r="D669" s="57" t="s">
        <v>1301</v>
      </c>
      <c r="E669" s="57" t="s">
        <v>32</v>
      </c>
      <c r="F669" s="60" t="s">
        <v>330</v>
      </c>
      <c r="G669" s="68">
        <v>45360</v>
      </c>
      <c r="H669" s="57">
        <v>3200</v>
      </c>
      <c r="I669" s="61">
        <v>2600</v>
      </c>
      <c r="J669" s="69" t="s">
        <v>300</v>
      </c>
    </row>
    <row r="670" spans="1:10">
      <c r="A670" s="58">
        <v>669</v>
      </c>
      <c r="B670" s="57">
        <v>18669</v>
      </c>
      <c r="C670" s="57" t="s">
        <v>1302</v>
      </c>
      <c r="D670" s="57" t="s">
        <v>1303</v>
      </c>
      <c r="E670" s="57" t="s">
        <v>32</v>
      </c>
      <c r="F670" s="60" t="s">
        <v>330</v>
      </c>
      <c r="G670" s="68">
        <v>45360</v>
      </c>
      <c r="H670" s="57">
        <v>3200</v>
      </c>
      <c r="I670" s="61">
        <v>2600</v>
      </c>
      <c r="J670" s="69" t="s">
        <v>302</v>
      </c>
    </row>
    <row r="671" spans="1:10">
      <c r="A671" s="58">
        <v>670</v>
      </c>
      <c r="B671" s="57">
        <v>18670</v>
      </c>
      <c r="C671" s="57" t="s">
        <v>1304</v>
      </c>
      <c r="D671" s="60" t="s">
        <v>1305</v>
      </c>
      <c r="E671" s="57" t="s">
        <v>32</v>
      </c>
      <c r="F671" s="60" t="s">
        <v>330</v>
      </c>
      <c r="G671" s="68">
        <v>45362</v>
      </c>
      <c r="H671" s="57">
        <v>3200</v>
      </c>
      <c r="I671" s="61">
        <v>3200</v>
      </c>
      <c r="J671" s="69" t="s">
        <v>304</v>
      </c>
    </row>
    <row r="672" spans="1:10">
      <c r="A672" s="58">
        <v>671</v>
      </c>
      <c r="B672" s="57">
        <v>18671</v>
      </c>
      <c r="C672" s="57" t="s">
        <v>1306</v>
      </c>
      <c r="D672" s="58" t="s">
        <v>1307</v>
      </c>
      <c r="E672" s="57" t="s">
        <v>54</v>
      </c>
      <c r="F672" s="60" t="s">
        <v>330</v>
      </c>
      <c r="G672" s="68">
        <v>45362</v>
      </c>
      <c r="H672" s="57">
        <v>3200</v>
      </c>
      <c r="I672" s="61">
        <v>3200</v>
      </c>
      <c r="J672" s="69" t="s">
        <v>306</v>
      </c>
    </row>
    <row r="673" spans="1:10">
      <c r="A673" s="58">
        <v>672</v>
      </c>
      <c r="B673" s="57">
        <v>18672</v>
      </c>
      <c r="C673" s="57" t="s">
        <v>1308</v>
      </c>
      <c r="D673" s="57" t="s">
        <v>1309</v>
      </c>
      <c r="E673" s="57" t="s">
        <v>32</v>
      </c>
      <c r="F673" s="60" t="s">
        <v>330</v>
      </c>
      <c r="G673" s="68">
        <v>45383</v>
      </c>
      <c r="H673" s="57">
        <v>3200</v>
      </c>
      <c r="I673" s="61">
        <v>3200</v>
      </c>
      <c r="J673" s="69" t="s">
        <v>39</v>
      </c>
    </row>
    <row r="674" spans="1:10">
      <c r="A674" s="58">
        <v>673</v>
      </c>
      <c r="B674" s="57">
        <v>18673</v>
      </c>
      <c r="C674" s="57" t="s">
        <v>1310</v>
      </c>
      <c r="D674" s="57" t="s">
        <v>1311</v>
      </c>
      <c r="E674" s="57" t="s">
        <v>32</v>
      </c>
      <c r="F674" s="60" t="s">
        <v>390</v>
      </c>
      <c r="G674" s="68">
        <v>45411</v>
      </c>
      <c r="H674" s="57">
        <v>7500</v>
      </c>
      <c r="I674" s="61">
        <v>7500</v>
      </c>
      <c r="J674" s="69" t="s">
        <v>299</v>
      </c>
    </row>
    <row r="675" spans="1:10">
      <c r="A675" s="58">
        <v>674</v>
      </c>
      <c r="B675" s="57">
        <v>18674</v>
      </c>
      <c r="C675" s="57" t="s">
        <v>1312</v>
      </c>
      <c r="D675" s="57" t="s">
        <v>1313</v>
      </c>
      <c r="E675" s="57" t="s">
        <v>32</v>
      </c>
      <c r="F675" s="60" t="s">
        <v>390</v>
      </c>
      <c r="G675" s="68">
        <v>45412</v>
      </c>
      <c r="H675" s="57">
        <v>7500</v>
      </c>
      <c r="I675" s="61">
        <v>6900</v>
      </c>
      <c r="J675" s="69" t="s">
        <v>35</v>
      </c>
    </row>
    <row r="676" spans="1:10">
      <c r="A676" s="58">
        <v>675</v>
      </c>
      <c r="B676" s="57">
        <v>18675</v>
      </c>
      <c r="C676" s="57" t="s">
        <v>1314</v>
      </c>
      <c r="D676" s="57" t="s">
        <v>1315</v>
      </c>
      <c r="E676" s="57" t="s">
        <v>32</v>
      </c>
      <c r="F676" s="60" t="s">
        <v>390</v>
      </c>
      <c r="G676" s="68">
        <v>45412</v>
      </c>
      <c r="H676" s="57">
        <v>7500</v>
      </c>
      <c r="I676" s="61">
        <v>6900</v>
      </c>
      <c r="J676" s="69" t="s">
        <v>310</v>
      </c>
    </row>
    <row r="677" spans="1:10">
      <c r="A677" s="58">
        <v>676</v>
      </c>
      <c r="B677" s="57">
        <v>18676</v>
      </c>
      <c r="C677" s="57" t="s">
        <v>1316</v>
      </c>
      <c r="D677" s="57" t="s">
        <v>1317</v>
      </c>
      <c r="E677" s="57" t="s">
        <v>54</v>
      </c>
      <c r="F677" s="60" t="s">
        <v>390</v>
      </c>
      <c r="G677" s="68">
        <v>45412</v>
      </c>
      <c r="H677" s="57">
        <v>7500</v>
      </c>
      <c r="I677" s="61">
        <v>7500</v>
      </c>
      <c r="J677" s="69" t="s">
        <v>70</v>
      </c>
    </row>
    <row r="678" spans="1:10">
      <c r="A678" s="58">
        <v>677</v>
      </c>
      <c r="B678" s="57">
        <v>18677</v>
      </c>
      <c r="C678" s="57" t="s">
        <v>1318</v>
      </c>
      <c r="D678" s="57" t="s">
        <v>1319</v>
      </c>
      <c r="E678" s="57" t="s">
        <v>54</v>
      </c>
      <c r="F678" s="60" t="s">
        <v>390</v>
      </c>
      <c r="G678" s="68">
        <v>45413</v>
      </c>
      <c r="H678" s="57">
        <v>7500</v>
      </c>
      <c r="I678" s="61">
        <v>7500</v>
      </c>
      <c r="J678" s="69" t="s">
        <v>75</v>
      </c>
    </row>
    <row r="679" spans="1:10">
      <c r="A679" s="58">
        <v>678</v>
      </c>
      <c r="B679" s="57">
        <v>18678</v>
      </c>
      <c r="C679" s="57" t="s">
        <v>1320</v>
      </c>
      <c r="D679" s="57" t="s">
        <v>1321</v>
      </c>
      <c r="E679" s="57" t="s">
        <v>32</v>
      </c>
      <c r="F679" s="60" t="s">
        <v>390</v>
      </c>
      <c r="G679" s="68">
        <v>45413</v>
      </c>
      <c r="H679" s="57">
        <v>7500</v>
      </c>
      <c r="I679" s="61">
        <v>7100</v>
      </c>
      <c r="J679" s="69" t="s">
        <v>70</v>
      </c>
    </row>
    <row r="680" spans="1:10">
      <c r="A680" s="58">
        <v>679</v>
      </c>
      <c r="B680" s="57">
        <v>18679</v>
      </c>
      <c r="C680" s="57" t="s">
        <v>1322</v>
      </c>
      <c r="D680" s="57" t="s">
        <v>413</v>
      </c>
      <c r="E680" s="57" t="s">
        <v>54</v>
      </c>
      <c r="F680" s="60" t="s">
        <v>390</v>
      </c>
      <c r="G680" s="68">
        <v>45413</v>
      </c>
      <c r="H680" s="57">
        <v>7500</v>
      </c>
      <c r="I680" s="61">
        <v>7500</v>
      </c>
      <c r="J680" s="69" t="s">
        <v>75</v>
      </c>
    </row>
    <row r="681" spans="1:10">
      <c r="A681" s="58">
        <v>680</v>
      </c>
      <c r="B681" s="57">
        <v>18680</v>
      </c>
      <c r="C681" s="57" t="s">
        <v>1323</v>
      </c>
      <c r="D681" s="57" t="s">
        <v>868</v>
      </c>
      <c r="E681" s="57" t="s">
        <v>32</v>
      </c>
      <c r="F681" s="60" t="s">
        <v>390</v>
      </c>
      <c r="G681" s="68">
        <v>45414</v>
      </c>
      <c r="H681" s="57">
        <v>7500</v>
      </c>
      <c r="I681" s="61">
        <v>6900</v>
      </c>
      <c r="J681" s="69" t="s">
        <v>75</v>
      </c>
    </row>
    <row r="682" spans="1:10">
      <c r="A682" s="58">
        <v>681</v>
      </c>
      <c r="B682" s="57">
        <v>18681</v>
      </c>
      <c r="C682" s="57" t="s">
        <v>1324</v>
      </c>
      <c r="D682" s="57" t="s">
        <v>1011</v>
      </c>
      <c r="E682" s="57" t="s">
        <v>32</v>
      </c>
      <c r="F682" s="60" t="s">
        <v>390</v>
      </c>
      <c r="G682" s="68">
        <v>45414</v>
      </c>
      <c r="H682" s="57">
        <v>7500</v>
      </c>
      <c r="I682" s="61">
        <v>7100</v>
      </c>
      <c r="J682" s="69" t="s">
        <v>70</v>
      </c>
    </row>
    <row r="683" spans="1:10">
      <c r="A683" s="58">
        <v>682</v>
      </c>
      <c r="B683" s="57">
        <v>18682</v>
      </c>
      <c r="C683" s="57" t="s">
        <v>1325</v>
      </c>
      <c r="D683" s="57" t="s">
        <v>375</v>
      </c>
      <c r="E683" s="57" t="s">
        <v>32</v>
      </c>
      <c r="F683" s="60" t="s">
        <v>390</v>
      </c>
      <c r="G683" s="68">
        <v>45414</v>
      </c>
      <c r="H683" s="57">
        <v>7500</v>
      </c>
      <c r="I683" s="61">
        <v>6900</v>
      </c>
      <c r="J683" s="69" t="s">
        <v>88</v>
      </c>
    </row>
    <row r="684" spans="1:10">
      <c r="A684" s="58">
        <v>683</v>
      </c>
      <c r="B684" s="57">
        <v>18683</v>
      </c>
      <c r="C684" s="57" t="s">
        <v>1326</v>
      </c>
      <c r="D684" s="57" t="s">
        <v>660</v>
      </c>
      <c r="E684" s="57" t="s">
        <v>54</v>
      </c>
      <c r="F684" s="60" t="s">
        <v>390</v>
      </c>
      <c r="G684" s="68">
        <v>45415</v>
      </c>
      <c r="H684" s="57">
        <v>7500</v>
      </c>
      <c r="I684" s="61">
        <v>7500</v>
      </c>
      <c r="J684" s="69" t="s">
        <v>314</v>
      </c>
    </row>
    <row r="685" spans="1:10">
      <c r="A685" s="58">
        <v>684</v>
      </c>
      <c r="B685" s="57">
        <v>18684</v>
      </c>
      <c r="C685" s="57" t="s">
        <v>1327</v>
      </c>
      <c r="D685" s="57" t="s">
        <v>1328</v>
      </c>
      <c r="E685" s="57" t="s">
        <v>54</v>
      </c>
      <c r="F685" s="60" t="s">
        <v>390</v>
      </c>
      <c r="G685" s="68">
        <v>45415</v>
      </c>
      <c r="H685" s="57">
        <v>7500</v>
      </c>
      <c r="I685" s="61">
        <v>7500</v>
      </c>
      <c r="J685" s="69" t="s">
        <v>39</v>
      </c>
    </row>
    <row r="686" spans="1:10">
      <c r="A686" s="58">
        <v>685</v>
      </c>
      <c r="B686" s="57">
        <v>18685</v>
      </c>
      <c r="C686" s="57" t="s">
        <v>1329</v>
      </c>
      <c r="D686" s="57" t="s">
        <v>381</v>
      </c>
      <c r="E686" s="57" t="s">
        <v>32</v>
      </c>
      <c r="F686" s="60" t="s">
        <v>390</v>
      </c>
      <c r="G686" s="68">
        <v>45415</v>
      </c>
      <c r="H686" s="57">
        <v>7500</v>
      </c>
      <c r="I686" s="61">
        <v>7500</v>
      </c>
      <c r="J686" s="69" t="s">
        <v>299</v>
      </c>
    </row>
    <row r="687" spans="1:10">
      <c r="A687" s="58">
        <v>686</v>
      </c>
      <c r="B687" s="57">
        <v>18686</v>
      </c>
      <c r="C687" s="57" t="s">
        <v>1330</v>
      </c>
      <c r="D687" s="57" t="s">
        <v>1331</v>
      </c>
      <c r="E687" s="57" t="s">
        <v>32</v>
      </c>
      <c r="F687" s="60" t="s">
        <v>390</v>
      </c>
      <c r="G687" s="68">
        <v>45416</v>
      </c>
      <c r="H687" s="57">
        <v>7500</v>
      </c>
      <c r="I687" s="61">
        <v>7500</v>
      </c>
      <c r="J687" s="69" t="s">
        <v>299</v>
      </c>
    </row>
    <row r="688" spans="1:10">
      <c r="A688" s="58">
        <v>687</v>
      </c>
      <c r="B688" s="57">
        <v>18687</v>
      </c>
      <c r="C688" s="57" t="s">
        <v>1332</v>
      </c>
      <c r="D688" s="57" t="s">
        <v>703</v>
      </c>
      <c r="E688" s="57" t="s">
        <v>32</v>
      </c>
      <c r="F688" s="60" t="s">
        <v>390</v>
      </c>
      <c r="G688" s="68">
        <v>45416</v>
      </c>
      <c r="H688" s="57">
        <v>7500</v>
      </c>
      <c r="I688" s="61">
        <v>6900</v>
      </c>
      <c r="J688" s="69" t="s">
        <v>322</v>
      </c>
    </row>
    <row r="689" spans="1:10">
      <c r="A689" s="58">
        <v>688</v>
      </c>
      <c r="B689" s="57">
        <v>18688</v>
      </c>
      <c r="C689" s="57" t="s">
        <v>1333</v>
      </c>
      <c r="D689" s="57" t="s">
        <v>305</v>
      </c>
      <c r="E689" s="57" t="s">
        <v>54</v>
      </c>
      <c r="F689" s="60" t="s">
        <v>390</v>
      </c>
      <c r="G689" s="68">
        <v>45416</v>
      </c>
      <c r="H689" s="57">
        <v>7500</v>
      </c>
      <c r="I689" s="61">
        <v>900</v>
      </c>
      <c r="J689" s="69" t="s">
        <v>325</v>
      </c>
    </row>
    <row r="690" spans="1:10">
      <c r="A690" s="58">
        <v>689</v>
      </c>
      <c r="B690" s="57">
        <v>18689</v>
      </c>
      <c r="C690" s="57" t="s">
        <v>1296</v>
      </c>
      <c r="D690" s="57" t="s">
        <v>1334</v>
      </c>
      <c r="E690" s="57" t="s">
        <v>32</v>
      </c>
      <c r="F690" s="60" t="s">
        <v>390</v>
      </c>
      <c r="G690" s="68">
        <v>45418</v>
      </c>
      <c r="H690" s="57">
        <v>7500</v>
      </c>
      <c r="I690" s="61">
        <v>7500</v>
      </c>
      <c r="J690" s="69" t="s">
        <v>295</v>
      </c>
    </row>
    <row r="691" spans="1:10">
      <c r="A691" s="58">
        <v>690</v>
      </c>
      <c r="B691" s="57">
        <v>18690</v>
      </c>
      <c r="C691" s="57" t="s">
        <v>1335</v>
      </c>
      <c r="D691" s="57" t="s">
        <v>1336</v>
      </c>
      <c r="E691" s="57" t="s">
        <v>32</v>
      </c>
      <c r="F691" s="60" t="s">
        <v>390</v>
      </c>
      <c r="G691" s="68">
        <v>45418</v>
      </c>
      <c r="H691" s="57">
        <v>7500</v>
      </c>
      <c r="I691" s="61">
        <v>7100</v>
      </c>
      <c r="J691" s="69" t="s">
        <v>314</v>
      </c>
    </row>
    <row r="692" spans="1:10">
      <c r="A692" s="58">
        <v>691</v>
      </c>
      <c r="B692" s="57">
        <v>18691</v>
      </c>
      <c r="C692" s="57" t="s">
        <v>1337</v>
      </c>
      <c r="D692" s="57" t="s">
        <v>1338</v>
      </c>
      <c r="E692" s="57" t="s">
        <v>32</v>
      </c>
      <c r="F692" s="60" t="s">
        <v>390</v>
      </c>
      <c r="G692" s="68">
        <v>45418</v>
      </c>
      <c r="H692" s="57">
        <v>7500</v>
      </c>
      <c r="I692" s="61">
        <v>800</v>
      </c>
      <c r="J692" s="69" t="s">
        <v>314</v>
      </c>
    </row>
    <row r="693" spans="1:10">
      <c r="A693" s="58">
        <v>692</v>
      </c>
      <c r="B693" s="57">
        <v>18692</v>
      </c>
      <c r="C693" s="57" t="s">
        <v>421</v>
      </c>
      <c r="D693" s="57" t="s">
        <v>1339</v>
      </c>
      <c r="E693" s="57" t="s">
        <v>54</v>
      </c>
      <c r="F693" s="60" t="s">
        <v>390</v>
      </c>
      <c r="G693" s="68">
        <v>45419</v>
      </c>
      <c r="H693" s="57">
        <v>7500</v>
      </c>
      <c r="I693" s="61">
        <v>6900</v>
      </c>
      <c r="J693" s="69" t="s">
        <v>302</v>
      </c>
    </row>
    <row r="694" spans="1:10">
      <c r="A694" s="58">
        <v>693</v>
      </c>
      <c r="B694" s="57">
        <v>18693</v>
      </c>
      <c r="C694" s="57" t="s">
        <v>1340</v>
      </c>
      <c r="D694" s="57" t="s">
        <v>1341</v>
      </c>
      <c r="E694" s="57" t="s">
        <v>54</v>
      </c>
      <c r="F694" s="60" t="s">
        <v>390</v>
      </c>
      <c r="G694" s="68">
        <v>45419</v>
      </c>
      <c r="H694" s="57">
        <v>7500</v>
      </c>
      <c r="I694" s="61">
        <v>700</v>
      </c>
      <c r="J694" s="69" t="s">
        <v>302</v>
      </c>
    </row>
    <row r="695" spans="1:10">
      <c r="A695" s="58">
        <v>694</v>
      </c>
      <c r="B695" s="57">
        <v>18694</v>
      </c>
      <c r="C695" s="57" t="s">
        <v>1342</v>
      </c>
      <c r="D695" s="62" t="s">
        <v>1343</v>
      </c>
      <c r="E695" s="57" t="s">
        <v>32</v>
      </c>
      <c r="F695" s="60" t="s">
        <v>390</v>
      </c>
      <c r="G695" s="68">
        <v>45542</v>
      </c>
      <c r="H695" s="57">
        <v>7500</v>
      </c>
      <c r="I695" s="61">
        <v>7500</v>
      </c>
      <c r="J695" s="69" t="s">
        <v>337</v>
      </c>
    </row>
    <row r="696" spans="1:10">
      <c r="A696" s="58">
        <v>695</v>
      </c>
      <c r="B696" s="57">
        <v>18695</v>
      </c>
      <c r="C696" s="57" t="s">
        <v>1344</v>
      </c>
      <c r="D696" s="58" t="s">
        <v>1345</v>
      </c>
      <c r="E696" s="57" t="s">
        <v>32</v>
      </c>
      <c r="F696" s="60" t="s">
        <v>390</v>
      </c>
      <c r="G696" s="68">
        <v>45542</v>
      </c>
      <c r="H696" s="57">
        <v>7500</v>
      </c>
      <c r="I696" s="61">
        <v>6900</v>
      </c>
      <c r="J696" s="69" t="s">
        <v>35</v>
      </c>
    </row>
    <row r="697" spans="1:10">
      <c r="A697" s="58">
        <v>696</v>
      </c>
      <c r="B697" s="57">
        <v>18696</v>
      </c>
      <c r="C697" s="57" t="s">
        <v>849</v>
      </c>
      <c r="D697" s="57" t="s">
        <v>1346</v>
      </c>
      <c r="E697" s="57" t="s">
        <v>32</v>
      </c>
      <c r="F697" s="60" t="s">
        <v>294</v>
      </c>
      <c r="G697" s="68">
        <v>45544</v>
      </c>
      <c r="H697" s="57">
        <v>4400</v>
      </c>
      <c r="I697" s="61">
        <v>3800</v>
      </c>
      <c r="J697" s="69" t="s">
        <v>88</v>
      </c>
    </row>
    <row r="698" spans="1:10">
      <c r="A698" s="58">
        <v>697</v>
      </c>
      <c r="B698" s="57">
        <v>18697</v>
      </c>
      <c r="C698" s="57" t="s">
        <v>1189</v>
      </c>
      <c r="D698" s="57" t="s">
        <v>1347</v>
      </c>
      <c r="E698" s="57" t="s">
        <v>32</v>
      </c>
      <c r="F698" s="60" t="s">
        <v>294</v>
      </c>
      <c r="G698" s="68">
        <v>45566</v>
      </c>
      <c r="H698" s="57">
        <v>4400</v>
      </c>
      <c r="I698" s="61">
        <v>3800</v>
      </c>
      <c r="J698" s="69" t="s">
        <v>295</v>
      </c>
    </row>
    <row r="699" spans="1:10">
      <c r="A699" s="58">
        <v>698</v>
      </c>
      <c r="B699" s="57">
        <v>18698</v>
      </c>
      <c r="C699" s="57" t="s">
        <v>1192</v>
      </c>
      <c r="D699" s="58" t="s">
        <v>1348</v>
      </c>
      <c r="E699" s="57" t="s">
        <v>54</v>
      </c>
      <c r="F699" s="60" t="s">
        <v>294</v>
      </c>
      <c r="G699" s="68">
        <v>45573</v>
      </c>
      <c r="H699" s="57">
        <v>4400</v>
      </c>
      <c r="I699" s="61">
        <v>4000</v>
      </c>
      <c r="J699" s="69" t="s">
        <v>297</v>
      </c>
    </row>
    <row r="700" spans="1:10">
      <c r="A700" s="58">
        <v>699</v>
      </c>
      <c r="B700" s="57">
        <v>18699</v>
      </c>
      <c r="C700" s="58" t="s">
        <v>527</v>
      </c>
      <c r="D700" s="57" t="s">
        <v>1090</v>
      </c>
      <c r="E700" s="57" t="s">
        <v>32</v>
      </c>
      <c r="F700" s="64" t="s">
        <v>73</v>
      </c>
      <c r="G700" s="68">
        <v>45584</v>
      </c>
      <c r="H700" s="57">
        <v>5500</v>
      </c>
      <c r="I700" s="61">
        <v>500</v>
      </c>
      <c r="J700" s="69" t="s">
        <v>39</v>
      </c>
    </row>
    <row r="701" spans="1:10">
      <c r="A701" s="58">
        <v>700</v>
      </c>
      <c r="B701" s="57">
        <v>18700</v>
      </c>
      <c r="C701" s="58" t="s">
        <v>1349</v>
      </c>
      <c r="D701" s="57" t="s">
        <v>1350</v>
      </c>
      <c r="E701" s="57" t="s">
        <v>32</v>
      </c>
      <c r="F701" s="65" t="s">
        <v>294</v>
      </c>
      <c r="G701" s="68">
        <v>45587</v>
      </c>
      <c r="H701" s="57">
        <v>4400</v>
      </c>
      <c r="I701" s="61">
        <v>3800</v>
      </c>
      <c r="J701" s="69" t="s">
        <v>299</v>
      </c>
    </row>
    <row r="702" spans="1:10">
      <c r="A702" s="58">
        <v>701</v>
      </c>
      <c r="B702" s="57">
        <v>18701</v>
      </c>
      <c r="C702" s="58" t="s">
        <v>1351</v>
      </c>
      <c r="D702" s="57" t="s">
        <v>1352</v>
      </c>
      <c r="E702" s="57" t="s">
        <v>32</v>
      </c>
      <c r="F702" s="64" t="s">
        <v>73</v>
      </c>
      <c r="G702" s="68">
        <v>45588</v>
      </c>
      <c r="H702" s="57">
        <v>5500</v>
      </c>
      <c r="I702" s="61">
        <v>5100</v>
      </c>
      <c r="J702" s="69" t="s">
        <v>300</v>
      </c>
    </row>
    <row r="703" spans="1:10">
      <c r="A703" s="58">
        <v>702</v>
      </c>
      <c r="B703" s="57">
        <v>18702</v>
      </c>
      <c r="C703" s="58" t="s">
        <v>1349</v>
      </c>
      <c r="D703" s="57" t="s">
        <v>1353</v>
      </c>
      <c r="E703" s="57" t="s">
        <v>32</v>
      </c>
      <c r="F703" s="64" t="s">
        <v>73</v>
      </c>
      <c r="G703" s="68">
        <v>45588</v>
      </c>
      <c r="H703" s="57">
        <v>5500</v>
      </c>
      <c r="I703" s="61">
        <v>5100</v>
      </c>
      <c r="J703" s="69" t="s">
        <v>302</v>
      </c>
    </row>
    <row r="704" spans="1:10">
      <c r="A704" s="58">
        <v>703</v>
      </c>
      <c r="B704" s="57">
        <v>18703</v>
      </c>
      <c r="C704" s="58" t="s">
        <v>1354</v>
      </c>
      <c r="D704" s="58" t="s">
        <v>1355</v>
      </c>
      <c r="E704" s="57" t="s">
        <v>54</v>
      </c>
      <c r="F704" s="64" t="s">
        <v>73</v>
      </c>
      <c r="G704" s="68">
        <v>45589</v>
      </c>
      <c r="H704" s="57">
        <v>5500</v>
      </c>
      <c r="I704" s="61">
        <v>4900</v>
      </c>
      <c r="J704" s="69" t="s">
        <v>304</v>
      </c>
    </row>
    <row r="705" spans="1:10">
      <c r="A705" s="58">
        <v>704</v>
      </c>
      <c r="B705" s="57">
        <v>18704</v>
      </c>
      <c r="C705" s="63" t="s">
        <v>1356</v>
      </c>
      <c r="D705" s="57" t="s">
        <v>1357</v>
      </c>
      <c r="E705" s="57" t="s">
        <v>32</v>
      </c>
      <c r="F705" s="64" t="s">
        <v>73</v>
      </c>
      <c r="G705" s="68">
        <v>45590</v>
      </c>
      <c r="H705" s="57">
        <v>5500</v>
      </c>
      <c r="I705" s="61">
        <v>5500</v>
      </c>
      <c r="J705" s="69" t="s">
        <v>306</v>
      </c>
    </row>
    <row r="706" spans="1:10">
      <c r="A706" s="58">
        <v>705</v>
      </c>
      <c r="B706" s="57">
        <v>18705</v>
      </c>
      <c r="C706" s="58" t="s">
        <v>1358</v>
      </c>
      <c r="D706" s="57" t="s">
        <v>868</v>
      </c>
      <c r="E706" s="57" t="s">
        <v>54</v>
      </c>
      <c r="F706" s="64" t="s">
        <v>73</v>
      </c>
      <c r="G706" s="68">
        <v>45591</v>
      </c>
      <c r="H706" s="57">
        <v>5500</v>
      </c>
      <c r="I706" s="61">
        <v>4900</v>
      </c>
      <c r="J706" s="69" t="s">
        <v>39</v>
      </c>
    </row>
    <row r="707" spans="1:10">
      <c r="A707" s="58">
        <v>706</v>
      </c>
      <c r="B707" s="57">
        <v>18706</v>
      </c>
      <c r="C707" s="58" t="s">
        <v>439</v>
      </c>
      <c r="D707" s="57" t="s">
        <v>1359</v>
      </c>
      <c r="E707" s="57" t="s">
        <v>32</v>
      </c>
      <c r="F707" s="64" t="s">
        <v>73</v>
      </c>
      <c r="G707" s="68">
        <v>45594</v>
      </c>
      <c r="H707" s="57">
        <v>5500</v>
      </c>
      <c r="I707" s="61">
        <v>5500</v>
      </c>
      <c r="J707" s="69" t="s">
        <v>299</v>
      </c>
    </row>
    <row r="708" spans="1:10">
      <c r="A708" s="58">
        <v>707</v>
      </c>
      <c r="B708" s="57">
        <v>18707</v>
      </c>
      <c r="C708" s="58" t="s">
        <v>1360</v>
      </c>
      <c r="D708" s="57" t="s">
        <v>1361</v>
      </c>
      <c r="E708" s="57" t="s">
        <v>32</v>
      </c>
      <c r="F708" s="64" t="s">
        <v>73</v>
      </c>
      <c r="G708" s="68">
        <v>45594</v>
      </c>
      <c r="H708" s="57">
        <v>5500</v>
      </c>
      <c r="I708" s="61">
        <v>5500</v>
      </c>
      <c r="J708" s="69" t="s">
        <v>35</v>
      </c>
    </row>
    <row r="709" spans="1:10">
      <c r="A709" s="58">
        <v>708</v>
      </c>
      <c r="B709" s="57">
        <v>18708</v>
      </c>
      <c r="C709" s="58" t="s">
        <v>1230</v>
      </c>
      <c r="D709" s="57" t="s">
        <v>1362</v>
      </c>
      <c r="E709" s="57" t="s">
        <v>32</v>
      </c>
      <c r="F709" s="64" t="s">
        <v>73</v>
      </c>
      <c r="G709" s="68">
        <v>45596</v>
      </c>
      <c r="H709" s="57">
        <v>5500</v>
      </c>
      <c r="I709" s="61">
        <v>5100</v>
      </c>
      <c r="J709" s="69" t="s">
        <v>310</v>
      </c>
    </row>
    <row r="710" spans="1:10">
      <c r="A710" s="58">
        <v>709</v>
      </c>
      <c r="B710" s="57">
        <v>18709</v>
      </c>
      <c r="C710" s="58" t="s">
        <v>1363</v>
      </c>
      <c r="D710" s="57" t="s">
        <v>1364</v>
      </c>
      <c r="E710" s="57" t="s">
        <v>32</v>
      </c>
      <c r="F710" s="60" t="s">
        <v>390</v>
      </c>
      <c r="G710" s="68">
        <v>45597</v>
      </c>
      <c r="H710" s="57">
        <v>7500</v>
      </c>
      <c r="I710" s="61">
        <v>7100</v>
      </c>
      <c r="J710" s="69" t="s">
        <v>70</v>
      </c>
    </row>
    <row r="711" spans="1:10">
      <c r="A711" s="58">
        <v>710</v>
      </c>
      <c r="B711" s="57">
        <v>18710</v>
      </c>
      <c r="C711" s="58" t="s">
        <v>1365</v>
      </c>
      <c r="D711" s="57" t="s">
        <v>466</v>
      </c>
      <c r="E711" s="57" t="s">
        <v>54</v>
      </c>
      <c r="F711" s="60" t="s">
        <v>390</v>
      </c>
      <c r="G711" s="68">
        <v>45597</v>
      </c>
      <c r="H711" s="57">
        <v>7500</v>
      </c>
      <c r="I711" s="61">
        <v>400</v>
      </c>
      <c r="J711" s="69" t="s">
        <v>75</v>
      </c>
    </row>
    <row r="712" spans="1:10">
      <c r="A712" s="58">
        <v>711</v>
      </c>
      <c r="B712" s="57">
        <v>18711</v>
      </c>
      <c r="C712" s="58" t="s">
        <v>1366</v>
      </c>
      <c r="D712" s="57" t="s">
        <v>1367</v>
      </c>
      <c r="E712" s="57" t="s">
        <v>54</v>
      </c>
      <c r="F712" s="65" t="s">
        <v>294</v>
      </c>
      <c r="G712" s="68">
        <v>45598</v>
      </c>
      <c r="H712" s="57">
        <v>4400</v>
      </c>
      <c r="I712" s="61">
        <v>3800</v>
      </c>
      <c r="J712" s="69" t="s">
        <v>70</v>
      </c>
    </row>
    <row r="713" spans="1:10">
      <c r="A713" s="58">
        <v>712</v>
      </c>
      <c r="B713" s="57">
        <v>18712</v>
      </c>
      <c r="C713" s="58" t="s">
        <v>646</v>
      </c>
      <c r="D713" s="57" t="s">
        <v>1368</v>
      </c>
      <c r="E713" s="57" t="s">
        <v>32</v>
      </c>
      <c r="F713" s="65" t="s">
        <v>294</v>
      </c>
      <c r="G713" s="68">
        <v>45598</v>
      </c>
      <c r="H713" s="57">
        <v>4400</v>
      </c>
      <c r="I713" s="61">
        <v>3800</v>
      </c>
      <c r="J713" s="69" t="s">
        <v>75</v>
      </c>
    </row>
    <row r="714" spans="1:10">
      <c r="A714" s="58">
        <v>713</v>
      </c>
      <c r="B714" s="57">
        <v>18713</v>
      </c>
      <c r="C714" s="58" t="s">
        <v>1369</v>
      </c>
      <c r="D714" s="57" t="s">
        <v>1370</v>
      </c>
      <c r="E714" s="57" t="s">
        <v>54</v>
      </c>
      <c r="F714" s="60" t="s">
        <v>390</v>
      </c>
      <c r="G714" s="68">
        <v>45598</v>
      </c>
      <c r="H714" s="57">
        <v>7500</v>
      </c>
      <c r="I714" s="61">
        <v>6900</v>
      </c>
      <c r="J714" s="69" t="s">
        <v>75</v>
      </c>
    </row>
    <row r="715" spans="1:10">
      <c r="A715" s="58">
        <v>714</v>
      </c>
      <c r="B715" s="57">
        <v>18714</v>
      </c>
      <c r="C715" s="58" t="s">
        <v>1371</v>
      </c>
      <c r="D715" s="57" t="s">
        <v>1372</v>
      </c>
      <c r="E715" s="57" t="s">
        <v>54</v>
      </c>
      <c r="F715" s="64" t="s">
        <v>73</v>
      </c>
      <c r="G715" s="68">
        <v>45601</v>
      </c>
      <c r="H715" s="57">
        <v>5500</v>
      </c>
      <c r="I715" s="61">
        <v>4900</v>
      </c>
      <c r="J715" s="69" t="s">
        <v>70</v>
      </c>
    </row>
    <row r="716" spans="1:10">
      <c r="A716" s="58">
        <v>715</v>
      </c>
      <c r="B716" s="57">
        <v>18715</v>
      </c>
      <c r="C716" s="58" t="s">
        <v>1373</v>
      </c>
      <c r="D716" s="57" t="s">
        <v>1374</v>
      </c>
      <c r="E716" s="57" t="s">
        <v>54</v>
      </c>
      <c r="F716" s="64" t="s">
        <v>73</v>
      </c>
      <c r="G716" s="68">
        <v>45604</v>
      </c>
      <c r="H716" s="57">
        <v>5500</v>
      </c>
      <c r="I716" s="61">
        <v>4900</v>
      </c>
      <c r="J716" s="69" t="s">
        <v>88</v>
      </c>
    </row>
    <row r="717" spans="1:10">
      <c r="A717" s="58">
        <v>716</v>
      </c>
      <c r="B717" s="57">
        <v>18716</v>
      </c>
      <c r="C717" s="58" t="s">
        <v>1375</v>
      </c>
      <c r="D717" s="57" t="s">
        <v>1376</v>
      </c>
      <c r="E717" s="57" t="s">
        <v>32</v>
      </c>
      <c r="F717" s="64" t="s">
        <v>73</v>
      </c>
      <c r="G717" s="68">
        <v>45605</v>
      </c>
      <c r="H717" s="57">
        <v>5500</v>
      </c>
      <c r="I717" s="61">
        <v>4900</v>
      </c>
      <c r="J717" s="69" t="s">
        <v>314</v>
      </c>
    </row>
    <row r="718" spans="1:10">
      <c r="A718" s="58">
        <v>717</v>
      </c>
      <c r="B718" s="57">
        <v>18717</v>
      </c>
      <c r="C718" s="58" t="s">
        <v>1208</v>
      </c>
      <c r="D718" s="57" t="s">
        <v>1377</v>
      </c>
      <c r="E718" s="57" t="s">
        <v>32</v>
      </c>
      <c r="F718" s="60" t="s">
        <v>73</v>
      </c>
      <c r="G718" s="68">
        <v>45607</v>
      </c>
      <c r="H718" s="57">
        <v>5500</v>
      </c>
      <c r="I718" s="61">
        <v>5500</v>
      </c>
      <c r="J718" s="69" t="s">
        <v>39</v>
      </c>
    </row>
    <row r="719" spans="1:10">
      <c r="A719" s="58">
        <v>718</v>
      </c>
      <c r="B719" s="57">
        <v>18718</v>
      </c>
      <c r="C719" s="58" t="s">
        <v>1378</v>
      </c>
      <c r="D719" s="57" t="s">
        <v>752</v>
      </c>
      <c r="E719" s="57" t="s">
        <v>32</v>
      </c>
      <c r="F719" s="64" t="s">
        <v>73</v>
      </c>
      <c r="G719" s="68">
        <v>45608</v>
      </c>
      <c r="H719" s="57">
        <v>5500</v>
      </c>
      <c r="I719" s="61">
        <v>5100</v>
      </c>
      <c r="J719" s="69" t="s">
        <v>299</v>
      </c>
    </row>
    <row r="720" spans="1:10">
      <c r="A720" s="58">
        <v>719</v>
      </c>
      <c r="B720" s="57">
        <v>18719</v>
      </c>
      <c r="C720" s="58" t="s">
        <v>1378</v>
      </c>
      <c r="D720" s="57" t="s">
        <v>1379</v>
      </c>
      <c r="E720" s="57" t="s">
        <v>32</v>
      </c>
      <c r="F720" s="65" t="s">
        <v>294</v>
      </c>
      <c r="G720" s="68">
        <v>45611</v>
      </c>
      <c r="H720" s="57">
        <v>4400</v>
      </c>
      <c r="I720" s="61">
        <v>4400</v>
      </c>
      <c r="J720" s="69" t="s">
        <v>299</v>
      </c>
    </row>
    <row r="721" spans="1:10">
      <c r="A721" s="58">
        <v>720</v>
      </c>
      <c r="B721" s="57">
        <v>18720</v>
      </c>
      <c r="C721" s="58" t="s">
        <v>405</v>
      </c>
      <c r="D721" s="57" t="s">
        <v>1380</v>
      </c>
      <c r="E721" s="57" t="s">
        <v>54</v>
      </c>
      <c r="F721" s="64" t="s">
        <v>73</v>
      </c>
      <c r="G721" s="68">
        <v>45614</v>
      </c>
      <c r="H721" s="57">
        <v>5500</v>
      </c>
      <c r="I721" s="61">
        <v>4900</v>
      </c>
      <c r="J721" s="69" t="s">
        <v>322</v>
      </c>
    </row>
    <row r="722" spans="1:10">
      <c r="A722" s="58">
        <v>721</v>
      </c>
      <c r="B722" s="57">
        <v>18721</v>
      </c>
      <c r="C722" s="58" t="s">
        <v>1381</v>
      </c>
      <c r="D722" s="57" t="s">
        <v>1382</v>
      </c>
      <c r="E722" s="57" t="s">
        <v>32</v>
      </c>
      <c r="F722" s="64" t="s">
        <v>73</v>
      </c>
      <c r="G722" s="68">
        <v>45615</v>
      </c>
      <c r="H722" s="57">
        <v>5500</v>
      </c>
      <c r="I722" s="61">
        <v>5500</v>
      </c>
      <c r="J722" s="69" t="s">
        <v>325</v>
      </c>
    </row>
    <row r="723" spans="1:10">
      <c r="A723" s="58">
        <v>722</v>
      </c>
      <c r="B723" s="57">
        <v>18722</v>
      </c>
      <c r="C723" s="58" t="s">
        <v>1383</v>
      </c>
      <c r="D723" s="58" t="s">
        <v>1384</v>
      </c>
      <c r="E723" s="57" t="s">
        <v>32</v>
      </c>
      <c r="F723" s="60" t="s">
        <v>390</v>
      </c>
      <c r="G723" s="68">
        <v>45615</v>
      </c>
      <c r="H723" s="57">
        <v>7500</v>
      </c>
      <c r="I723" s="61">
        <v>7500</v>
      </c>
      <c r="J723" s="69" t="s">
        <v>295</v>
      </c>
    </row>
    <row r="724" spans="1:10">
      <c r="A724" s="58">
        <v>723</v>
      </c>
      <c r="B724" s="57">
        <v>18723</v>
      </c>
      <c r="C724" s="58" t="s">
        <v>1216</v>
      </c>
      <c r="D724" s="57" t="s">
        <v>1385</v>
      </c>
      <c r="E724" s="57" t="s">
        <v>54</v>
      </c>
      <c r="F724" s="65" t="s">
        <v>294</v>
      </c>
      <c r="G724" s="68">
        <v>45616</v>
      </c>
      <c r="H724" s="57">
        <v>4400</v>
      </c>
      <c r="I724" s="61">
        <v>4400</v>
      </c>
      <c r="J724" s="69" t="s">
        <v>314</v>
      </c>
    </row>
    <row r="725" spans="1:10">
      <c r="A725" s="58">
        <v>724</v>
      </c>
      <c r="B725" s="57">
        <v>18724</v>
      </c>
      <c r="C725" s="58" t="s">
        <v>1386</v>
      </c>
      <c r="D725" s="57" t="s">
        <v>1387</v>
      </c>
      <c r="E725" s="57" t="s">
        <v>32</v>
      </c>
      <c r="F725" s="64" t="s">
        <v>73</v>
      </c>
      <c r="G725" s="68">
        <v>45616</v>
      </c>
      <c r="H725" s="57">
        <v>5500</v>
      </c>
      <c r="I725" s="61">
        <v>5500</v>
      </c>
      <c r="J725" s="69" t="s">
        <v>314</v>
      </c>
    </row>
    <row r="726" spans="1:10">
      <c r="A726" s="58">
        <v>725</v>
      </c>
      <c r="B726" s="57">
        <v>18725</v>
      </c>
      <c r="C726" s="58" t="s">
        <v>1388</v>
      </c>
      <c r="D726" s="57" t="s">
        <v>1389</v>
      </c>
      <c r="E726" s="57" t="s">
        <v>54</v>
      </c>
      <c r="F726" s="64" t="s">
        <v>73</v>
      </c>
      <c r="G726" s="68">
        <v>45617</v>
      </c>
      <c r="H726" s="57">
        <v>5500</v>
      </c>
      <c r="I726" s="61">
        <v>5100</v>
      </c>
      <c r="J726" s="69" t="s">
        <v>302</v>
      </c>
    </row>
    <row r="727" spans="1:10">
      <c r="A727" s="58">
        <v>726</v>
      </c>
      <c r="B727" s="57">
        <v>18726</v>
      </c>
      <c r="C727" s="58" t="s">
        <v>1216</v>
      </c>
      <c r="D727" s="57" t="s">
        <v>378</v>
      </c>
      <c r="E727" s="57" t="s">
        <v>54</v>
      </c>
      <c r="F727" s="60" t="s">
        <v>431</v>
      </c>
      <c r="G727" s="68">
        <v>45617</v>
      </c>
      <c r="H727" s="57">
        <v>1800</v>
      </c>
      <c r="I727" s="61">
        <v>1200</v>
      </c>
      <c r="J727" s="69" t="s">
        <v>302</v>
      </c>
    </row>
    <row r="728" spans="1:10">
      <c r="A728" s="58">
        <v>727</v>
      </c>
      <c r="B728" s="57">
        <v>18727</v>
      </c>
      <c r="C728" s="58" t="s">
        <v>1390</v>
      </c>
      <c r="D728" s="57" t="s">
        <v>1391</v>
      </c>
      <c r="E728" s="57" t="s">
        <v>32</v>
      </c>
      <c r="F728" s="64" t="s">
        <v>73</v>
      </c>
      <c r="G728" s="68">
        <v>45618</v>
      </c>
      <c r="H728" s="57">
        <v>5500</v>
      </c>
      <c r="I728" s="61">
        <v>5100</v>
      </c>
      <c r="J728" s="69" t="s">
        <v>337</v>
      </c>
    </row>
    <row r="729" spans="1:10">
      <c r="A729" s="58">
        <v>728</v>
      </c>
      <c r="B729" s="57">
        <v>18728</v>
      </c>
      <c r="C729" s="58" t="s">
        <v>1392</v>
      </c>
      <c r="D729" s="58" t="s">
        <v>1393</v>
      </c>
      <c r="E729" s="57" t="s">
        <v>32</v>
      </c>
      <c r="F729" s="64" t="s">
        <v>73</v>
      </c>
      <c r="G729" s="68">
        <v>45618</v>
      </c>
      <c r="H729" s="57">
        <v>5500</v>
      </c>
      <c r="I729" s="61">
        <v>500</v>
      </c>
      <c r="J729" s="69" t="s">
        <v>35</v>
      </c>
    </row>
    <row r="730" spans="1:10">
      <c r="A730" s="58">
        <v>729</v>
      </c>
      <c r="B730" s="57">
        <v>18729</v>
      </c>
      <c r="C730" s="58" t="s">
        <v>1394</v>
      </c>
      <c r="D730" s="57" t="s">
        <v>365</v>
      </c>
      <c r="E730" s="57" t="s">
        <v>32</v>
      </c>
      <c r="F730" s="64" t="s">
        <v>73</v>
      </c>
      <c r="G730" s="68">
        <v>45621</v>
      </c>
      <c r="H730" s="57">
        <v>5500</v>
      </c>
      <c r="I730" s="61">
        <v>4900</v>
      </c>
      <c r="J730" s="69" t="s">
        <v>88</v>
      </c>
    </row>
    <row r="731" spans="1:10">
      <c r="A731" s="58">
        <v>730</v>
      </c>
      <c r="B731" s="57">
        <v>18730</v>
      </c>
      <c r="C731" s="58" t="s">
        <v>1395</v>
      </c>
      <c r="D731" s="57" t="s">
        <v>1396</v>
      </c>
      <c r="E731" s="57" t="s">
        <v>32</v>
      </c>
      <c r="F731" s="64" t="s">
        <v>73</v>
      </c>
      <c r="G731" s="68">
        <v>45622</v>
      </c>
      <c r="H731" s="57">
        <v>5500</v>
      </c>
      <c r="I731" s="61">
        <v>5500</v>
      </c>
      <c r="J731" s="69" t="s">
        <v>295</v>
      </c>
    </row>
    <row r="732" spans="1:10">
      <c r="A732" s="58">
        <v>731</v>
      </c>
      <c r="B732" s="57">
        <v>18731</v>
      </c>
      <c r="C732" s="58" t="s">
        <v>791</v>
      </c>
      <c r="D732" s="57" t="s">
        <v>1397</v>
      </c>
      <c r="E732" s="57" t="s">
        <v>32</v>
      </c>
      <c r="F732" s="64" t="s">
        <v>73</v>
      </c>
      <c r="G732" s="68">
        <v>45624</v>
      </c>
      <c r="H732" s="57">
        <v>5500</v>
      </c>
      <c r="I732" s="61">
        <v>5500</v>
      </c>
      <c r="J732" s="69" t="s">
        <v>297</v>
      </c>
    </row>
    <row r="733" spans="1:10">
      <c r="A733" s="58">
        <v>732</v>
      </c>
      <c r="B733" s="57">
        <v>18732</v>
      </c>
      <c r="C733" s="58" t="s">
        <v>1398</v>
      </c>
      <c r="D733" s="57" t="s">
        <v>1112</v>
      </c>
      <c r="E733" s="57" t="s">
        <v>32</v>
      </c>
      <c r="F733" s="64" t="s">
        <v>73</v>
      </c>
      <c r="G733" s="68">
        <v>45624</v>
      </c>
      <c r="H733" s="57">
        <v>5500</v>
      </c>
      <c r="I733" s="61">
        <v>4900</v>
      </c>
      <c r="J733" s="69" t="s">
        <v>39</v>
      </c>
    </row>
    <row r="734" spans="1:10">
      <c r="A734" s="58">
        <v>733</v>
      </c>
      <c r="B734" s="57">
        <v>18733</v>
      </c>
      <c r="C734" s="58" t="s">
        <v>1399</v>
      </c>
      <c r="D734" s="57" t="s">
        <v>313</v>
      </c>
      <c r="E734" s="57" t="s">
        <v>32</v>
      </c>
      <c r="F734" s="64" t="s">
        <v>73</v>
      </c>
      <c r="G734" s="68">
        <v>45625</v>
      </c>
      <c r="H734" s="57">
        <v>5500</v>
      </c>
      <c r="I734" s="61">
        <v>5500</v>
      </c>
      <c r="J734" s="69" t="s">
        <v>299</v>
      </c>
    </row>
    <row r="735" spans="1:10">
      <c r="A735" s="58">
        <v>734</v>
      </c>
      <c r="B735" s="57">
        <v>18734</v>
      </c>
      <c r="C735" s="58" t="s">
        <v>1400</v>
      </c>
      <c r="D735" s="57" t="s">
        <v>503</v>
      </c>
      <c r="E735" s="57" t="s">
        <v>32</v>
      </c>
      <c r="F735" s="64" t="s">
        <v>73</v>
      </c>
      <c r="G735" s="68">
        <v>45625</v>
      </c>
      <c r="H735" s="57">
        <v>5500</v>
      </c>
      <c r="I735" s="61">
        <v>5500</v>
      </c>
      <c r="J735" s="69" t="s">
        <v>300</v>
      </c>
    </row>
    <row r="736" spans="1:10">
      <c r="A736" s="58">
        <v>735</v>
      </c>
      <c r="B736" s="57">
        <v>18735</v>
      </c>
      <c r="C736" s="58" t="s">
        <v>343</v>
      </c>
      <c r="D736" s="57" t="s">
        <v>1401</v>
      </c>
      <c r="E736" s="57" t="s">
        <v>32</v>
      </c>
      <c r="F736" s="64" t="s">
        <v>73</v>
      </c>
      <c r="G736" s="68">
        <v>45626</v>
      </c>
      <c r="H736" s="57">
        <v>5500</v>
      </c>
      <c r="I736" s="61">
        <v>5100</v>
      </c>
      <c r="J736" s="69" t="s">
        <v>302</v>
      </c>
    </row>
    <row r="737" spans="1:10">
      <c r="A737" s="58">
        <v>736</v>
      </c>
      <c r="B737" s="57">
        <v>18736</v>
      </c>
      <c r="C737" s="58" t="s">
        <v>474</v>
      </c>
      <c r="D737" s="57" t="s">
        <v>630</v>
      </c>
      <c r="E737" s="57" t="s">
        <v>54</v>
      </c>
      <c r="F737" s="64" t="s">
        <v>73</v>
      </c>
      <c r="G737" s="68">
        <v>45626</v>
      </c>
      <c r="H737" s="57">
        <v>5500</v>
      </c>
      <c r="I737" s="61">
        <v>5100</v>
      </c>
      <c r="J737" s="69" t="s">
        <v>304</v>
      </c>
    </row>
    <row r="738" spans="1:10">
      <c r="A738" s="58">
        <v>737</v>
      </c>
      <c r="B738" s="57">
        <v>18737</v>
      </c>
      <c r="C738" s="58" t="s">
        <v>1402</v>
      </c>
      <c r="D738" s="58" t="s">
        <v>1403</v>
      </c>
      <c r="E738" s="57" t="s">
        <v>32</v>
      </c>
      <c r="F738" s="64" t="s">
        <v>73</v>
      </c>
      <c r="G738" s="68">
        <v>45628</v>
      </c>
      <c r="H738" s="57">
        <v>5500</v>
      </c>
      <c r="I738" s="61">
        <v>5500</v>
      </c>
      <c r="J738" s="69" t="s">
        <v>306</v>
      </c>
    </row>
    <row r="739" spans="1:10">
      <c r="A739" s="58">
        <v>738</v>
      </c>
      <c r="B739" s="57">
        <v>18738</v>
      </c>
      <c r="C739" s="58" t="s">
        <v>646</v>
      </c>
      <c r="D739" s="57" t="s">
        <v>1404</v>
      </c>
      <c r="E739" s="57" t="s">
        <v>32</v>
      </c>
      <c r="F739" s="64" t="s">
        <v>73</v>
      </c>
      <c r="G739" s="68">
        <v>45629</v>
      </c>
      <c r="H739" s="57">
        <v>5500</v>
      </c>
      <c r="I739" s="61">
        <v>5500</v>
      </c>
      <c r="J739" s="69" t="s">
        <v>39</v>
      </c>
    </row>
    <row r="740" spans="1:10">
      <c r="A740" s="58">
        <v>739</v>
      </c>
      <c r="B740" s="57">
        <v>18739</v>
      </c>
      <c r="C740" s="58" t="s">
        <v>1405</v>
      </c>
      <c r="D740" s="57" t="s">
        <v>675</v>
      </c>
      <c r="E740" s="57" t="s">
        <v>54</v>
      </c>
      <c r="F740" s="64" t="s">
        <v>73</v>
      </c>
      <c r="G740" s="68">
        <v>45629</v>
      </c>
      <c r="H740" s="57">
        <v>5500</v>
      </c>
      <c r="I740" s="61">
        <v>5500</v>
      </c>
      <c r="J740" s="69" t="s">
        <v>299</v>
      </c>
    </row>
    <row r="741" spans="1:10">
      <c r="A741" s="58">
        <v>740</v>
      </c>
      <c r="B741" s="57">
        <v>18740</v>
      </c>
      <c r="C741" s="58" t="s">
        <v>1406</v>
      </c>
      <c r="D741" s="57" t="s">
        <v>1407</v>
      </c>
      <c r="E741" s="57" t="s">
        <v>32</v>
      </c>
      <c r="F741" s="64" t="s">
        <v>73</v>
      </c>
      <c r="G741" s="68">
        <v>45657</v>
      </c>
      <c r="H741" s="57">
        <v>5500</v>
      </c>
      <c r="I741" s="61">
        <v>5500</v>
      </c>
      <c r="J741" s="69" t="s">
        <v>35</v>
      </c>
    </row>
    <row r="742" spans="1:10">
      <c r="A742" s="58">
        <v>741</v>
      </c>
      <c r="B742" s="57">
        <v>18741</v>
      </c>
      <c r="C742" s="58" t="s">
        <v>1408</v>
      </c>
      <c r="D742" s="57" t="s">
        <v>1409</v>
      </c>
      <c r="E742" s="57" t="s">
        <v>32</v>
      </c>
      <c r="F742" s="64" t="s">
        <v>73</v>
      </c>
      <c r="G742" s="68">
        <v>45657</v>
      </c>
      <c r="H742" s="57">
        <v>5500</v>
      </c>
      <c r="I742" s="61">
        <v>5500</v>
      </c>
      <c r="J742" s="69" t="s">
        <v>310</v>
      </c>
    </row>
    <row r="743" spans="1:10">
      <c r="A743" s="58">
        <v>742</v>
      </c>
      <c r="B743" s="57">
        <v>18742</v>
      </c>
      <c r="C743" s="66" t="s">
        <v>1410</v>
      </c>
      <c r="D743" s="57" t="s">
        <v>784</v>
      </c>
      <c r="E743" s="57" t="s">
        <v>54</v>
      </c>
      <c r="F743" s="64" t="s">
        <v>73</v>
      </c>
      <c r="G743" s="68">
        <v>45657</v>
      </c>
      <c r="H743" s="57">
        <v>5500</v>
      </c>
      <c r="I743" s="61">
        <v>4900</v>
      </c>
      <c r="J743" s="69" t="s">
        <v>70</v>
      </c>
    </row>
    <row r="744" spans="1:10">
      <c r="A744" s="58">
        <v>743</v>
      </c>
      <c r="B744" s="57">
        <v>18743</v>
      </c>
      <c r="C744" s="58" t="s">
        <v>1411</v>
      </c>
      <c r="D744" s="58" t="s">
        <v>635</v>
      </c>
      <c r="E744" s="57" t="s">
        <v>32</v>
      </c>
      <c r="F744" s="64" t="s">
        <v>73</v>
      </c>
      <c r="G744" s="68">
        <v>45657</v>
      </c>
      <c r="H744" s="57">
        <v>5500</v>
      </c>
      <c r="I744" s="61">
        <v>4900</v>
      </c>
      <c r="J744" s="69" t="s">
        <v>75</v>
      </c>
    </row>
    <row r="745" spans="1:10">
      <c r="A745" s="58">
        <v>744</v>
      </c>
      <c r="B745" s="57">
        <v>18744</v>
      </c>
      <c r="C745" s="58" t="s">
        <v>1412</v>
      </c>
      <c r="D745" s="57" t="s">
        <v>535</v>
      </c>
      <c r="E745" s="57" t="s">
        <v>32</v>
      </c>
      <c r="F745" s="64" t="s">
        <v>73</v>
      </c>
      <c r="G745" s="68">
        <v>45657</v>
      </c>
      <c r="H745" s="57">
        <v>5500</v>
      </c>
      <c r="I745" s="61">
        <v>5500</v>
      </c>
      <c r="J745" s="69" t="s">
        <v>70</v>
      </c>
    </row>
    <row r="746" spans="1:10">
      <c r="A746" s="58">
        <v>745</v>
      </c>
      <c r="B746" s="57">
        <v>18745</v>
      </c>
      <c r="C746" s="57" t="s">
        <v>1413</v>
      </c>
      <c r="D746" s="57" t="s">
        <v>453</v>
      </c>
      <c r="E746" s="57" t="s">
        <v>32</v>
      </c>
      <c r="F746" s="64" t="s">
        <v>73</v>
      </c>
      <c r="G746" s="68">
        <v>45576</v>
      </c>
      <c r="H746" s="57">
        <v>5500</v>
      </c>
      <c r="I746" s="61">
        <v>4900</v>
      </c>
      <c r="J746" s="69" t="s">
        <v>75</v>
      </c>
    </row>
    <row r="747" spans="1:10">
      <c r="A747" s="58">
        <v>746</v>
      </c>
      <c r="B747" s="57">
        <v>18746</v>
      </c>
      <c r="C747" s="57" t="s">
        <v>1243</v>
      </c>
      <c r="D747" s="57" t="s">
        <v>1414</v>
      </c>
      <c r="E747" s="57" t="s">
        <v>54</v>
      </c>
      <c r="F747" s="64" t="s">
        <v>73</v>
      </c>
      <c r="G747" s="68">
        <v>45579</v>
      </c>
      <c r="H747" s="57">
        <v>5500</v>
      </c>
      <c r="I747" s="61">
        <v>800</v>
      </c>
      <c r="J747" s="69" t="s">
        <v>75</v>
      </c>
    </row>
    <row r="748" spans="1:10">
      <c r="A748" s="58">
        <v>747</v>
      </c>
      <c r="B748" s="57">
        <v>18747</v>
      </c>
      <c r="C748" s="57" t="s">
        <v>1245</v>
      </c>
      <c r="D748" s="57" t="s">
        <v>813</v>
      </c>
      <c r="E748" s="57" t="s">
        <v>54</v>
      </c>
      <c r="F748" s="64" t="s">
        <v>73</v>
      </c>
      <c r="G748" s="68">
        <v>45580</v>
      </c>
      <c r="H748" s="57">
        <v>5500</v>
      </c>
      <c r="I748" s="61">
        <v>5100</v>
      </c>
      <c r="J748" s="69" t="s">
        <v>70</v>
      </c>
    </row>
    <row r="749" spans="1:10">
      <c r="A749" s="58">
        <v>748</v>
      </c>
      <c r="B749" s="57">
        <v>18748</v>
      </c>
      <c r="C749" s="57" t="s">
        <v>1415</v>
      </c>
      <c r="D749" s="57" t="s">
        <v>1416</v>
      </c>
      <c r="E749" s="57" t="s">
        <v>32</v>
      </c>
      <c r="F749" s="64" t="s">
        <v>73</v>
      </c>
      <c r="G749" s="68">
        <v>45589</v>
      </c>
      <c r="H749" s="57">
        <v>5500</v>
      </c>
      <c r="I749" s="61">
        <v>4900</v>
      </c>
      <c r="J749" s="69" t="s">
        <v>88</v>
      </c>
    </row>
    <row r="750" spans="1:10">
      <c r="A750" s="58">
        <v>749</v>
      </c>
      <c r="B750" s="57">
        <v>18749</v>
      </c>
      <c r="C750" s="58" t="s">
        <v>1417</v>
      </c>
      <c r="D750" s="57" t="s">
        <v>1283</v>
      </c>
      <c r="E750" s="57" t="s">
        <v>32</v>
      </c>
      <c r="F750" s="64" t="s">
        <v>73</v>
      </c>
      <c r="G750" s="68">
        <v>45612</v>
      </c>
      <c r="H750" s="57">
        <v>5500</v>
      </c>
      <c r="I750" s="61">
        <v>5500</v>
      </c>
      <c r="J750" s="69" t="s">
        <v>314</v>
      </c>
    </row>
    <row r="751" spans="1:10">
      <c r="A751" s="58">
        <v>750</v>
      </c>
      <c r="B751" s="57">
        <v>18750</v>
      </c>
      <c r="C751" s="58" t="s">
        <v>1418</v>
      </c>
      <c r="D751" s="57" t="s">
        <v>366</v>
      </c>
      <c r="E751" s="57" t="s">
        <v>54</v>
      </c>
      <c r="F751" s="64" t="s">
        <v>73</v>
      </c>
      <c r="G751" s="68">
        <v>45623</v>
      </c>
      <c r="H751" s="57">
        <v>5500</v>
      </c>
      <c r="I751" s="61">
        <v>5500</v>
      </c>
      <c r="J751" s="69" t="s">
        <v>39</v>
      </c>
    </row>
    <row r="752" spans="1:10">
      <c r="A752" s="58">
        <v>751</v>
      </c>
      <c r="B752" s="57">
        <v>18751</v>
      </c>
      <c r="C752" s="58" t="s">
        <v>1419</v>
      </c>
      <c r="D752" s="57" t="s">
        <v>324</v>
      </c>
      <c r="E752" s="57" t="s">
        <v>54</v>
      </c>
      <c r="F752" s="60" t="s">
        <v>431</v>
      </c>
      <c r="G752" s="68">
        <v>45625</v>
      </c>
      <c r="H752" s="57">
        <v>1800</v>
      </c>
      <c r="I752" s="61">
        <v>1800</v>
      </c>
      <c r="J752" s="69" t="s">
        <v>299</v>
      </c>
    </row>
    <row r="753" spans="1:10">
      <c r="A753" s="58">
        <v>752</v>
      </c>
      <c r="B753" s="57">
        <v>18752</v>
      </c>
      <c r="C753" s="58" t="s">
        <v>1418</v>
      </c>
      <c r="D753" s="57" t="s">
        <v>1255</v>
      </c>
      <c r="E753" s="57" t="s">
        <v>54</v>
      </c>
      <c r="F753" s="60" t="s">
        <v>390</v>
      </c>
      <c r="G753" s="68">
        <v>45626</v>
      </c>
      <c r="H753" s="57">
        <v>7500</v>
      </c>
      <c r="I753" s="61">
        <v>7500</v>
      </c>
      <c r="J753" s="69" t="s">
        <v>299</v>
      </c>
    </row>
    <row r="754" spans="1:10">
      <c r="A754" s="58">
        <v>753</v>
      </c>
      <c r="B754" s="57">
        <v>18753</v>
      </c>
      <c r="C754" s="57" t="s">
        <v>1420</v>
      </c>
      <c r="D754" s="57" t="s">
        <v>1421</v>
      </c>
      <c r="E754" s="57" t="s">
        <v>54</v>
      </c>
      <c r="F754" s="60" t="s">
        <v>330</v>
      </c>
      <c r="G754" s="68">
        <v>45339</v>
      </c>
      <c r="H754" s="57">
        <v>3200</v>
      </c>
      <c r="I754" s="61">
        <v>2800</v>
      </c>
      <c r="J754" s="69" t="s">
        <v>322</v>
      </c>
    </row>
    <row r="755" spans="1:10">
      <c r="A755" s="58">
        <v>754</v>
      </c>
      <c r="B755" s="57">
        <v>18754</v>
      </c>
      <c r="C755" s="57" t="s">
        <v>1422</v>
      </c>
      <c r="D755" s="57" t="s">
        <v>1423</v>
      </c>
      <c r="E755" s="57" t="s">
        <v>54</v>
      </c>
      <c r="F755" s="60" t="s">
        <v>330</v>
      </c>
      <c r="G755" s="68">
        <v>45341</v>
      </c>
      <c r="H755" s="57">
        <v>3200</v>
      </c>
      <c r="I755" s="61">
        <v>2600</v>
      </c>
      <c r="J755" s="69" t="s">
        <v>325</v>
      </c>
    </row>
    <row r="756" spans="1:10">
      <c r="A756" s="58">
        <v>755</v>
      </c>
      <c r="B756" s="57">
        <v>18755</v>
      </c>
      <c r="C756" s="57" t="s">
        <v>346</v>
      </c>
      <c r="D756" s="57" t="s">
        <v>1424</v>
      </c>
      <c r="E756" s="57" t="s">
        <v>54</v>
      </c>
      <c r="F756" s="60" t="s">
        <v>330</v>
      </c>
      <c r="G756" s="68">
        <v>45341</v>
      </c>
      <c r="H756" s="57">
        <v>3200</v>
      </c>
      <c r="I756" s="61">
        <v>2600</v>
      </c>
      <c r="J756" s="69" t="s">
        <v>295</v>
      </c>
    </row>
    <row r="757" spans="1:10">
      <c r="A757" s="58">
        <v>756</v>
      </c>
      <c r="B757" s="57">
        <v>18756</v>
      </c>
      <c r="C757" s="57" t="s">
        <v>1425</v>
      </c>
      <c r="D757" s="58" t="s">
        <v>1426</v>
      </c>
      <c r="E757" s="57" t="s">
        <v>32</v>
      </c>
      <c r="F757" s="60" t="s">
        <v>330</v>
      </c>
      <c r="G757" s="68">
        <v>45341</v>
      </c>
      <c r="H757" s="57">
        <v>3200</v>
      </c>
      <c r="I757" s="61">
        <v>3200</v>
      </c>
      <c r="J757" s="69" t="s">
        <v>314</v>
      </c>
    </row>
    <row r="758" spans="1:10">
      <c r="A758" s="58">
        <v>757</v>
      </c>
      <c r="B758" s="57">
        <v>18757</v>
      </c>
      <c r="C758" s="57" t="s">
        <v>1427</v>
      </c>
      <c r="D758" s="57" t="s">
        <v>446</v>
      </c>
      <c r="E758" s="57" t="s">
        <v>32</v>
      </c>
      <c r="F758" s="60" t="s">
        <v>330</v>
      </c>
      <c r="G758" s="68">
        <v>45341</v>
      </c>
      <c r="H758" s="57">
        <v>3200</v>
      </c>
      <c r="I758" s="61">
        <v>3200</v>
      </c>
      <c r="J758" s="69" t="s">
        <v>314</v>
      </c>
    </row>
    <row r="759" spans="1:10">
      <c r="A759" s="58">
        <v>758</v>
      </c>
      <c r="B759" s="57">
        <v>18758</v>
      </c>
      <c r="C759" s="57" t="s">
        <v>1428</v>
      </c>
      <c r="D759" s="58" t="s">
        <v>1429</v>
      </c>
      <c r="E759" s="57" t="s">
        <v>32</v>
      </c>
      <c r="F759" s="60" t="s">
        <v>330</v>
      </c>
      <c r="G759" s="68">
        <v>45342</v>
      </c>
      <c r="H759" s="57">
        <v>3200</v>
      </c>
      <c r="I759" s="61">
        <v>3200</v>
      </c>
      <c r="J759" s="69" t="s">
        <v>302</v>
      </c>
    </row>
    <row r="760" spans="1:10">
      <c r="A760" s="58">
        <v>759</v>
      </c>
      <c r="B760" s="57">
        <v>18759</v>
      </c>
      <c r="C760" s="57" t="s">
        <v>1430</v>
      </c>
      <c r="D760" s="57" t="s">
        <v>1431</v>
      </c>
      <c r="E760" s="57" t="s">
        <v>54</v>
      </c>
      <c r="F760" s="60" t="s">
        <v>390</v>
      </c>
      <c r="G760" s="68">
        <v>45393</v>
      </c>
      <c r="H760" s="57">
        <v>7500</v>
      </c>
      <c r="I760" s="61">
        <v>700</v>
      </c>
      <c r="J760" s="69" t="s">
        <v>302</v>
      </c>
    </row>
    <row r="761" spans="1:10">
      <c r="A761" s="58">
        <v>760</v>
      </c>
      <c r="B761" s="57">
        <v>18760</v>
      </c>
      <c r="C761" s="57" t="s">
        <v>548</v>
      </c>
      <c r="D761" s="57" t="s">
        <v>1432</v>
      </c>
      <c r="E761" s="57" t="s">
        <v>32</v>
      </c>
      <c r="F761" s="60" t="s">
        <v>390</v>
      </c>
      <c r="G761" s="68">
        <v>45393</v>
      </c>
      <c r="H761" s="57">
        <v>7500</v>
      </c>
      <c r="I761" s="61">
        <v>6900</v>
      </c>
      <c r="J761" s="69" t="s">
        <v>337</v>
      </c>
    </row>
    <row r="762" spans="1:10">
      <c r="A762" s="58">
        <v>761</v>
      </c>
      <c r="B762" s="57">
        <v>18761</v>
      </c>
      <c r="C762" s="57" t="s">
        <v>1433</v>
      </c>
      <c r="D762" s="57" t="s">
        <v>1434</v>
      </c>
      <c r="E762" s="57" t="s">
        <v>54</v>
      </c>
      <c r="F762" s="60" t="s">
        <v>390</v>
      </c>
      <c r="G762" s="68">
        <v>45393</v>
      </c>
      <c r="H762" s="57">
        <v>7500</v>
      </c>
      <c r="I762" s="61">
        <v>7500</v>
      </c>
      <c r="J762" s="69" t="s">
        <v>297</v>
      </c>
    </row>
    <row r="763" spans="1:10">
      <c r="A763" s="58">
        <v>762</v>
      </c>
      <c r="B763" s="57">
        <v>18762</v>
      </c>
      <c r="C763" s="57" t="s">
        <v>1435</v>
      </c>
      <c r="D763" s="57" t="s">
        <v>732</v>
      </c>
      <c r="E763" s="57" t="s">
        <v>32</v>
      </c>
      <c r="F763" s="60" t="s">
        <v>390</v>
      </c>
      <c r="G763" s="68">
        <v>45394</v>
      </c>
      <c r="H763" s="57">
        <v>7500</v>
      </c>
      <c r="I763" s="61">
        <v>7500</v>
      </c>
      <c r="J763" s="69" t="s">
        <v>310</v>
      </c>
    </row>
    <row r="764" spans="1:10">
      <c r="A764" s="58">
        <v>763</v>
      </c>
      <c r="B764" s="57">
        <v>18763</v>
      </c>
      <c r="C764" s="57" t="s">
        <v>1436</v>
      </c>
      <c r="D764" s="57" t="s">
        <v>1437</v>
      </c>
      <c r="E764" s="57" t="s">
        <v>32</v>
      </c>
      <c r="F764" s="60" t="s">
        <v>390</v>
      </c>
      <c r="G764" s="68">
        <v>45394</v>
      </c>
      <c r="H764" s="57">
        <v>7500</v>
      </c>
      <c r="I764" s="61">
        <v>7500</v>
      </c>
      <c r="J764" s="69" t="s">
        <v>322</v>
      </c>
    </row>
    <row r="765" spans="1:10">
      <c r="A765" s="58">
        <v>764</v>
      </c>
      <c r="B765" s="57">
        <v>18764</v>
      </c>
      <c r="C765" s="57" t="s">
        <v>1438</v>
      </c>
      <c r="D765" s="57" t="s">
        <v>1439</v>
      </c>
      <c r="E765" s="57" t="s">
        <v>32</v>
      </c>
      <c r="F765" s="60" t="s">
        <v>390</v>
      </c>
      <c r="G765" s="68">
        <v>45394</v>
      </c>
      <c r="H765" s="57">
        <v>7500</v>
      </c>
      <c r="I765" s="61">
        <v>7500</v>
      </c>
      <c r="J765" s="69" t="s">
        <v>337</v>
      </c>
    </row>
    <row r="766" spans="1:10">
      <c r="A766" s="58">
        <v>765</v>
      </c>
      <c r="B766" s="57">
        <v>18765</v>
      </c>
      <c r="C766" s="57" t="s">
        <v>1440</v>
      </c>
      <c r="D766" s="57" t="s">
        <v>1441</v>
      </c>
      <c r="E766" s="57" t="s">
        <v>54</v>
      </c>
      <c r="F766" s="60" t="s">
        <v>390</v>
      </c>
      <c r="G766" s="68">
        <v>45395</v>
      </c>
      <c r="H766" s="57">
        <v>7500</v>
      </c>
      <c r="I766" s="61">
        <v>7100</v>
      </c>
      <c r="J766" s="69" t="s">
        <v>300</v>
      </c>
    </row>
    <row r="767" spans="1:10">
      <c r="A767" s="58">
        <v>766</v>
      </c>
      <c r="B767" s="57">
        <v>18766</v>
      </c>
      <c r="C767" s="57" t="s">
        <v>1442</v>
      </c>
      <c r="D767" s="57" t="s">
        <v>729</v>
      </c>
      <c r="E767" s="57" t="s">
        <v>32</v>
      </c>
      <c r="F767" s="60" t="s">
        <v>390</v>
      </c>
      <c r="G767" s="68">
        <v>45395</v>
      </c>
      <c r="H767" s="57">
        <v>7500</v>
      </c>
      <c r="I767" s="61">
        <v>7100</v>
      </c>
      <c r="J767" s="69" t="s">
        <v>35</v>
      </c>
    </row>
    <row r="768" spans="1:10">
      <c r="A768" s="58">
        <v>767</v>
      </c>
      <c r="B768" s="57">
        <v>18767</v>
      </c>
      <c r="C768" s="57" t="s">
        <v>1443</v>
      </c>
      <c r="D768" s="57" t="s">
        <v>377</v>
      </c>
      <c r="E768" s="57" t="s">
        <v>32</v>
      </c>
      <c r="F768" s="64" t="s">
        <v>73</v>
      </c>
      <c r="G768" s="68">
        <v>45580</v>
      </c>
      <c r="H768" s="57">
        <v>5500</v>
      </c>
      <c r="I768" s="61">
        <v>4900</v>
      </c>
      <c r="J768" s="69" t="s">
        <v>88</v>
      </c>
    </row>
    <row r="769" spans="1:10">
      <c r="A769" s="58">
        <v>768</v>
      </c>
      <c r="B769" s="57">
        <v>18768</v>
      </c>
      <c r="C769" s="57" t="s">
        <v>1444</v>
      </c>
      <c r="D769" s="57" t="s">
        <v>1445</v>
      </c>
      <c r="E769" s="57" t="s">
        <v>32</v>
      </c>
      <c r="F769" s="60" t="s">
        <v>73</v>
      </c>
      <c r="G769" s="68">
        <v>45581</v>
      </c>
      <c r="H769" s="57">
        <v>5500</v>
      </c>
      <c r="I769" s="61">
        <v>5500</v>
      </c>
      <c r="J769" s="69" t="s">
        <v>306</v>
      </c>
    </row>
    <row r="770" spans="1:10">
      <c r="A770" s="58">
        <v>769</v>
      </c>
      <c r="B770" s="57">
        <v>18769</v>
      </c>
      <c r="C770" s="57" t="s">
        <v>1446</v>
      </c>
      <c r="D770" s="57" t="s">
        <v>1447</v>
      </c>
      <c r="E770" s="57" t="s">
        <v>32</v>
      </c>
      <c r="F770" s="64" t="s">
        <v>73</v>
      </c>
      <c r="G770" s="68">
        <v>45581</v>
      </c>
      <c r="H770" s="57">
        <v>5500</v>
      </c>
      <c r="I770" s="61">
        <v>4900</v>
      </c>
      <c r="J770" s="69" t="s">
        <v>325</v>
      </c>
    </row>
    <row r="771" spans="1:10">
      <c r="A771" s="58">
        <v>770</v>
      </c>
      <c r="B771" s="57">
        <v>18770</v>
      </c>
      <c r="C771" s="60" t="s">
        <v>1448</v>
      </c>
      <c r="D771" s="58" t="s">
        <v>804</v>
      </c>
      <c r="E771" s="57" t="s">
        <v>54</v>
      </c>
      <c r="F771" s="60" t="s">
        <v>431</v>
      </c>
      <c r="G771" s="68">
        <v>45582</v>
      </c>
      <c r="H771" s="57">
        <v>1800</v>
      </c>
      <c r="I771" s="61">
        <v>1200</v>
      </c>
      <c r="J771" s="69" t="s">
        <v>295</v>
      </c>
    </row>
    <row r="772" spans="1:10">
      <c r="A772" s="58">
        <v>771</v>
      </c>
      <c r="B772" s="57">
        <v>18771</v>
      </c>
      <c r="C772" s="58" t="s">
        <v>1449</v>
      </c>
      <c r="D772" s="57" t="s">
        <v>1450</v>
      </c>
      <c r="E772" s="57" t="s">
        <v>32</v>
      </c>
      <c r="F772" s="64" t="s">
        <v>73</v>
      </c>
      <c r="G772" s="68">
        <v>45583</v>
      </c>
      <c r="H772" s="57">
        <v>5500</v>
      </c>
      <c r="I772" s="61">
        <v>4900</v>
      </c>
      <c r="J772" s="69" t="s">
        <v>297</v>
      </c>
    </row>
    <row r="773" spans="1:10">
      <c r="A773" s="58">
        <v>772</v>
      </c>
      <c r="B773" s="57">
        <v>18772</v>
      </c>
      <c r="C773" s="57" t="s">
        <v>1451</v>
      </c>
      <c r="D773" s="57" t="s">
        <v>1452</v>
      </c>
      <c r="E773" s="57" t="s">
        <v>54</v>
      </c>
      <c r="F773" s="60" t="s">
        <v>390</v>
      </c>
      <c r="G773" s="68">
        <v>45595</v>
      </c>
      <c r="H773" s="57">
        <v>7500</v>
      </c>
      <c r="I773" s="61">
        <v>1500</v>
      </c>
      <c r="J773" s="69" t="s">
        <v>310</v>
      </c>
    </row>
    <row r="774" spans="1:10">
      <c r="A774" s="58">
        <v>773</v>
      </c>
      <c r="B774" s="57">
        <v>18773</v>
      </c>
      <c r="C774" s="58" t="s">
        <v>1453</v>
      </c>
      <c r="D774" s="58" t="s">
        <v>1454</v>
      </c>
      <c r="E774" s="57" t="s">
        <v>32</v>
      </c>
      <c r="F774" s="65" t="s">
        <v>294</v>
      </c>
      <c r="G774" s="68">
        <v>45596</v>
      </c>
      <c r="H774" s="57">
        <v>4400</v>
      </c>
      <c r="I774" s="61">
        <v>4000</v>
      </c>
      <c r="J774" s="69" t="s">
        <v>322</v>
      </c>
    </row>
    <row r="775" spans="1:10">
      <c r="A775" s="58">
        <v>774</v>
      </c>
      <c r="B775" s="57">
        <v>18774</v>
      </c>
      <c r="C775" s="57" t="s">
        <v>911</v>
      </c>
      <c r="D775" s="57" t="s">
        <v>1455</v>
      </c>
      <c r="E775" s="57" t="s">
        <v>54</v>
      </c>
      <c r="F775" s="60" t="s">
        <v>390</v>
      </c>
      <c r="G775" s="68">
        <v>45395</v>
      </c>
      <c r="H775" s="57">
        <v>7500</v>
      </c>
      <c r="I775" s="61">
        <v>6900</v>
      </c>
      <c r="J775" s="69" t="s">
        <v>337</v>
      </c>
    </row>
    <row r="776" spans="1:10">
      <c r="A776" s="58">
        <v>775</v>
      </c>
      <c r="B776" s="57">
        <v>18775</v>
      </c>
      <c r="C776" s="57" t="s">
        <v>1456</v>
      </c>
      <c r="D776" s="58" t="s">
        <v>635</v>
      </c>
      <c r="E776" s="57" t="s">
        <v>54</v>
      </c>
      <c r="F776" s="60" t="s">
        <v>390</v>
      </c>
      <c r="G776" s="68">
        <v>45398</v>
      </c>
      <c r="H776" s="57">
        <v>7500</v>
      </c>
      <c r="I776" s="61">
        <v>6900</v>
      </c>
      <c r="J776" s="69" t="s">
        <v>300</v>
      </c>
    </row>
    <row r="777" spans="1:10">
      <c r="A777" s="58">
        <v>776</v>
      </c>
      <c r="B777" s="57">
        <v>18776</v>
      </c>
      <c r="C777" s="57" t="s">
        <v>1457</v>
      </c>
      <c r="D777" s="57" t="s">
        <v>351</v>
      </c>
      <c r="E777" s="57" t="s">
        <v>32</v>
      </c>
      <c r="F777" s="60" t="s">
        <v>390</v>
      </c>
      <c r="G777" s="68">
        <v>45399</v>
      </c>
      <c r="H777" s="57">
        <v>7500</v>
      </c>
      <c r="I777" s="61">
        <v>1800</v>
      </c>
      <c r="J777" s="69" t="s">
        <v>35</v>
      </c>
    </row>
    <row r="778" spans="1:10">
      <c r="A778" s="58">
        <v>777</v>
      </c>
      <c r="B778" s="57">
        <v>18777</v>
      </c>
      <c r="C778" s="57" t="s">
        <v>1458</v>
      </c>
      <c r="D778" s="57" t="s">
        <v>528</v>
      </c>
      <c r="E778" s="57" t="s">
        <v>32</v>
      </c>
      <c r="F778" s="60" t="s">
        <v>390</v>
      </c>
      <c r="G778" s="68">
        <v>45399</v>
      </c>
      <c r="H778" s="57">
        <v>7500</v>
      </c>
      <c r="I778" s="61">
        <v>7500</v>
      </c>
      <c r="J778" s="69" t="s">
        <v>88</v>
      </c>
    </row>
    <row r="779" spans="1:10">
      <c r="A779" s="58">
        <v>778</v>
      </c>
      <c r="B779" s="57">
        <v>18778</v>
      </c>
      <c r="C779" s="57" t="s">
        <v>751</v>
      </c>
      <c r="D779" s="57" t="s">
        <v>1147</v>
      </c>
      <c r="E779" s="57" t="s">
        <v>32</v>
      </c>
      <c r="F779" s="60" t="s">
        <v>390</v>
      </c>
      <c r="G779" s="68">
        <v>45399</v>
      </c>
      <c r="H779" s="57">
        <v>7500</v>
      </c>
      <c r="I779" s="61">
        <v>7500</v>
      </c>
      <c r="J779" s="69" t="s">
        <v>306</v>
      </c>
    </row>
    <row r="780" spans="1:10">
      <c r="A780" s="58">
        <v>779</v>
      </c>
      <c r="B780" s="57">
        <v>18779</v>
      </c>
      <c r="C780" s="57" t="s">
        <v>1459</v>
      </c>
      <c r="D780" s="57" t="s">
        <v>1112</v>
      </c>
      <c r="E780" s="57" t="s">
        <v>32</v>
      </c>
      <c r="F780" s="60" t="s">
        <v>390</v>
      </c>
      <c r="G780" s="68">
        <v>45400</v>
      </c>
      <c r="H780" s="57">
        <v>7500</v>
      </c>
      <c r="I780" s="61">
        <v>6900</v>
      </c>
      <c r="J780" s="69" t="s">
        <v>325</v>
      </c>
    </row>
    <row r="781" spans="1:10">
      <c r="A781" s="58">
        <v>780</v>
      </c>
      <c r="B781" s="57">
        <v>18780</v>
      </c>
      <c r="C781" s="57" t="s">
        <v>1460</v>
      </c>
      <c r="D781" s="57" t="s">
        <v>953</v>
      </c>
      <c r="E781" s="57" t="s">
        <v>32</v>
      </c>
      <c r="F781" s="60" t="s">
        <v>390</v>
      </c>
      <c r="G781" s="68">
        <v>45400</v>
      </c>
      <c r="H781" s="57">
        <v>7500</v>
      </c>
      <c r="I781" s="61">
        <v>6900</v>
      </c>
      <c r="J781" s="69" t="s">
        <v>295</v>
      </c>
    </row>
    <row r="782" spans="1:10">
      <c r="A782" s="58">
        <v>781</v>
      </c>
      <c r="B782" s="57">
        <v>18781</v>
      </c>
      <c r="C782" s="57" t="s">
        <v>1461</v>
      </c>
      <c r="D782" s="57" t="s">
        <v>1462</v>
      </c>
      <c r="E782" s="57" t="s">
        <v>54</v>
      </c>
      <c r="F782" s="60" t="s">
        <v>390</v>
      </c>
      <c r="G782" s="68">
        <v>45400</v>
      </c>
      <c r="H782" s="57">
        <v>7500</v>
      </c>
      <c r="I782" s="61">
        <v>7500</v>
      </c>
      <c r="J782" s="69" t="s">
        <v>297</v>
      </c>
    </row>
    <row r="783" spans="1:10">
      <c r="A783" s="58">
        <v>782</v>
      </c>
      <c r="B783" s="57">
        <v>18782</v>
      </c>
      <c r="C783" s="57" t="s">
        <v>1463</v>
      </c>
      <c r="D783" s="57" t="s">
        <v>1464</v>
      </c>
      <c r="E783" s="57" t="s">
        <v>54</v>
      </c>
      <c r="F783" s="60" t="s">
        <v>390</v>
      </c>
      <c r="G783" s="68">
        <v>45401</v>
      </c>
      <c r="H783" s="57">
        <v>7500</v>
      </c>
      <c r="I783" s="61">
        <v>7500</v>
      </c>
      <c r="J783" s="69" t="s">
        <v>310</v>
      </c>
    </row>
    <row r="784" spans="1:10">
      <c r="A784" s="58">
        <v>783</v>
      </c>
      <c r="B784" s="57">
        <v>18783</v>
      </c>
      <c r="C784" s="57" t="s">
        <v>1465</v>
      </c>
      <c r="D784" s="57" t="s">
        <v>895</v>
      </c>
      <c r="E784" s="57" t="s">
        <v>54</v>
      </c>
      <c r="F784" s="60" t="s">
        <v>390</v>
      </c>
      <c r="G784" s="68">
        <v>45401</v>
      </c>
      <c r="H784" s="57">
        <v>7500</v>
      </c>
      <c r="I784" s="61">
        <v>7500</v>
      </c>
      <c r="J784" s="69" t="s">
        <v>322</v>
      </c>
    </row>
    <row r="785" spans="1:10">
      <c r="A785" s="58">
        <v>784</v>
      </c>
      <c r="B785" s="57">
        <v>18784</v>
      </c>
      <c r="C785" s="57" t="s">
        <v>1466</v>
      </c>
      <c r="D785" s="57" t="s">
        <v>1372</v>
      </c>
      <c r="E785" s="57" t="s">
        <v>32</v>
      </c>
      <c r="F785" s="60" t="s">
        <v>390</v>
      </c>
      <c r="G785" s="68">
        <v>45401</v>
      </c>
      <c r="H785" s="57">
        <v>7500</v>
      </c>
      <c r="I785" s="61">
        <v>7100</v>
      </c>
      <c r="J785" s="69" t="s">
        <v>337</v>
      </c>
    </row>
    <row r="786" spans="1:10">
      <c r="A786" s="58">
        <v>785</v>
      </c>
      <c r="B786" s="57">
        <v>18785</v>
      </c>
      <c r="C786" s="57" t="s">
        <v>1467</v>
      </c>
      <c r="D786" s="57" t="s">
        <v>404</v>
      </c>
      <c r="E786" s="57" t="s">
        <v>32</v>
      </c>
      <c r="F786" s="60" t="s">
        <v>390</v>
      </c>
      <c r="G786" s="68">
        <v>45402</v>
      </c>
      <c r="H786" s="57">
        <v>7500</v>
      </c>
      <c r="I786" s="61">
        <v>2300</v>
      </c>
      <c r="J786" s="69" t="s">
        <v>300</v>
      </c>
    </row>
    <row r="787" spans="1:10">
      <c r="A787" s="58">
        <v>786</v>
      </c>
      <c r="B787" s="57">
        <v>18786</v>
      </c>
      <c r="C787" s="57" t="s">
        <v>1468</v>
      </c>
      <c r="D787" s="57" t="s">
        <v>1469</v>
      </c>
      <c r="E787" s="57" t="s">
        <v>32</v>
      </c>
      <c r="F787" s="60" t="s">
        <v>390</v>
      </c>
      <c r="G787" s="68">
        <v>45402</v>
      </c>
      <c r="H787" s="57">
        <v>7500</v>
      </c>
      <c r="I787" s="61">
        <v>6900</v>
      </c>
      <c r="J787" s="69" t="s">
        <v>322</v>
      </c>
    </row>
    <row r="788" spans="1:10">
      <c r="A788" s="58">
        <v>787</v>
      </c>
      <c r="B788" s="57">
        <v>18787</v>
      </c>
      <c r="C788" s="57" t="s">
        <v>1470</v>
      </c>
      <c r="D788" s="57" t="s">
        <v>491</v>
      </c>
      <c r="E788" s="57" t="s">
        <v>32</v>
      </c>
      <c r="F788" s="60" t="s">
        <v>390</v>
      </c>
      <c r="G788" s="68">
        <v>45402</v>
      </c>
      <c r="H788" s="57">
        <v>7500</v>
      </c>
      <c r="I788" s="61">
        <v>6900</v>
      </c>
      <c r="J788" s="69" t="s">
        <v>322</v>
      </c>
    </row>
    <row r="789" spans="1:10">
      <c r="A789" s="58">
        <v>788</v>
      </c>
      <c r="B789" s="57">
        <v>18788</v>
      </c>
      <c r="C789" s="57" t="s">
        <v>1471</v>
      </c>
      <c r="D789" s="57" t="s">
        <v>1112</v>
      </c>
      <c r="E789" s="57" t="s">
        <v>32</v>
      </c>
      <c r="F789" s="60" t="s">
        <v>390</v>
      </c>
      <c r="G789" s="68">
        <v>45404</v>
      </c>
      <c r="H789" s="57">
        <v>7500</v>
      </c>
      <c r="I789" s="61">
        <v>7500</v>
      </c>
      <c r="J789" s="69" t="s">
        <v>297</v>
      </c>
    </row>
    <row r="790" spans="1:10">
      <c r="A790" s="58">
        <v>789</v>
      </c>
      <c r="B790" s="57">
        <v>18789</v>
      </c>
      <c r="C790" s="57" t="s">
        <v>1472</v>
      </c>
      <c r="D790" s="58" t="s">
        <v>503</v>
      </c>
      <c r="E790" s="57" t="s">
        <v>54</v>
      </c>
      <c r="F790" s="60" t="s">
        <v>390</v>
      </c>
      <c r="G790" s="68">
        <v>45404</v>
      </c>
      <c r="H790" s="57">
        <v>7500</v>
      </c>
      <c r="I790" s="61">
        <v>2500</v>
      </c>
      <c r="J790" s="69" t="s">
        <v>310</v>
      </c>
    </row>
    <row r="791" spans="1:10">
      <c r="A791" s="58">
        <v>790</v>
      </c>
      <c r="B791" s="57">
        <v>18790</v>
      </c>
      <c r="C791" s="57" t="s">
        <v>1473</v>
      </c>
      <c r="D791" s="57" t="s">
        <v>1474</v>
      </c>
      <c r="E791" s="57" t="s">
        <v>54</v>
      </c>
      <c r="F791" s="60" t="s">
        <v>390</v>
      </c>
      <c r="G791" s="68">
        <v>45404</v>
      </c>
      <c r="H791" s="57">
        <v>7500</v>
      </c>
      <c r="I791" s="61">
        <v>7500</v>
      </c>
      <c r="J791" s="69" t="s">
        <v>297</v>
      </c>
    </row>
    <row r="792" spans="1:10">
      <c r="A792" s="58">
        <v>791</v>
      </c>
      <c r="B792" s="57">
        <v>18791</v>
      </c>
      <c r="C792" s="57" t="s">
        <v>359</v>
      </c>
      <c r="D792" s="57" t="s">
        <v>1379</v>
      </c>
      <c r="E792" s="57" t="s">
        <v>54</v>
      </c>
      <c r="F792" s="60" t="s">
        <v>390</v>
      </c>
      <c r="G792" s="68">
        <v>45405</v>
      </c>
      <c r="H792" s="57">
        <v>7500</v>
      </c>
      <c r="I792" s="61">
        <v>6900</v>
      </c>
      <c r="J792" s="69" t="s">
        <v>310</v>
      </c>
    </row>
    <row r="793" spans="1:10">
      <c r="A793" s="58">
        <v>792</v>
      </c>
      <c r="B793" s="57">
        <v>18792</v>
      </c>
      <c r="C793" s="57" t="s">
        <v>1475</v>
      </c>
      <c r="D793" s="57" t="s">
        <v>1476</v>
      </c>
      <c r="E793" s="57" t="s">
        <v>32</v>
      </c>
      <c r="F793" s="60" t="s">
        <v>294</v>
      </c>
      <c r="G793" s="68">
        <v>45297</v>
      </c>
      <c r="H793" s="57">
        <v>4400</v>
      </c>
      <c r="I793" s="61">
        <v>4400</v>
      </c>
      <c r="J793" s="69" t="s">
        <v>322</v>
      </c>
    </row>
    <row r="794" spans="1:10">
      <c r="A794" s="58">
        <v>793</v>
      </c>
      <c r="B794" s="57">
        <v>18793</v>
      </c>
      <c r="C794" s="57" t="s">
        <v>1477</v>
      </c>
      <c r="D794" s="57" t="s">
        <v>1317</v>
      </c>
      <c r="E794" s="57" t="s">
        <v>54</v>
      </c>
      <c r="F794" s="60" t="s">
        <v>294</v>
      </c>
      <c r="G794" s="68">
        <v>45297</v>
      </c>
      <c r="H794" s="57">
        <v>4400</v>
      </c>
      <c r="I794" s="61">
        <v>4400</v>
      </c>
      <c r="J794" s="69" t="s">
        <v>337</v>
      </c>
    </row>
    <row r="795" spans="1:10">
      <c r="A795" s="58">
        <v>794</v>
      </c>
      <c r="B795" s="57">
        <v>18794</v>
      </c>
      <c r="C795" s="57" t="s">
        <v>1478</v>
      </c>
      <c r="D795" s="57" t="s">
        <v>1479</v>
      </c>
      <c r="E795" s="57" t="s">
        <v>32</v>
      </c>
      <c r="F795" s="60" t="s">
        <v>330</v>
      </c>
      <c r="G795" s="68">
        <v>45342</v>
      </c>
      <c r="H795" s="57">
        <v>3200</v>
      </c>
      <c r="I795" s="61">
        <v>2600</v>
      </c>
      <c r="J795" s="69" t="s">
        <v>300</v>
      </c>
    </row>
    <row r="796" spans="1:10">
      <c r="A796" s="58">
        <v>795</v>
      </c>
      <c r="B796" s="57">
        <v>18795</v>
      </c>
      <c r="C796" s="57" t="s">
        <v>1480</v>
      </c>
      <c r="D796" s="57" t="s">
        <v>1481</v>
      </c>
      <c r="E796" s="57" t="s">
        <v>54</v>
      </c>
      <c r="F796" s="60" t="s">
        <v>330</v>
      </c>
      <c r="G796" s="68">
        <v>45343</v>
      </c>
      <c r="H796" s="57">
        <v>3200</v>
      </c>
      <c r="I796" s="61">
        <v>3200</v>
      </c>
      <c r="J796" s="69" t="s">
        <v>35</v>
      </c>
    </row>
    <row r="797" spans="1:10">
      <c r="A797" s="58">
        <v>796</v>
      </c>
      <c r="B797" s="57">
        <v>18796</v>
      </c>
      <c r="C797" s="57" t="s">
        <v>1482</v>
      </c>
      <c r="D797" s="57" t="s">
        <v>1474</v>
      </c>
      <c r="E797" s="57" t="s">
        <v>54</v>
      </c>
      <c r="F797" s="60" t="s">
        <v>330</v>
      </c>
      <c r="G797" s="68">
        <v>45343</v>
      </c>
      <c r="H797" s="57">
        <v>3200</v>
      </c>
      <c r="I797" s="61">
        <v>3200</v>
      </c>
      <c r="J797" s="69" t="s">
        <v>88</v>
      </c>
    </row>
    <row r="798" spans="1:10">
      <c r="A798" s="58">
        <v>797</v>
      </c>
      <c r="B798" s="57">
        <v>18797</v>
      </c>
      <c r="C798" s="57" t="s">
        <v>1483</v>
      </c>
      <c r="D798" s="57" t="s">
        <v>1484</v>
      </c>
      <c r="E798" s="57" t="s">
        <v>32</v>
      </c>
      <c r="F798" s="60" t="s">
        <v>330</v>
      </c>
      <c r="G798" s="68">
        <v>45343</v>
      </c>
      <c r="H798" s="57">
        <v>3200</v>
      </c>
      <c r="I798" s="61">
        <v>2600</v>
      </c>
      <c r="J798" s="69" t="s">
        <v>306</v>
      </c>
    </row>
    <row r="799" spans="1:10">
      <c r="A799" s="58">
        <v>798</v>
      </c>
      <c r="B799" s="57">
        <v>18798</v>
      </c>
      <c r="C799" s="57" t="s">
        <v>1485</v>
      </c>
      <c r="D799" s="57" t="s">
        <v>1486</v>
      </c>
      <c r="E799" s="57" t="s">
        <v>32</v>
      </c>
      <c r="F799" s="60" t="s">
        <v>330</v>
      </c>
      <c r="G799" s="68">
        <v>45344</v>
      </c>
      <c r="H799" s="57">
        <v>3200</v>
      </c>
      <c r="I799" s="61">
        <v>2800</v>
      </c>
      <c r="J799" s="69" t="s">
        <v>325</v>
      </c>
    </row>
    <row r="800" spans="1:10">
      <c r="A800" s="58">
        <v>799</v>
      </c>
      <c r="B800" s="57">
        <v>18799</v>
      </c>
      <c r="C800" s="57" t="s">
        <v>1487</v>
      </c>
      <c r="D800" s="57" t="s">
        <v>1364</v>
      </c>
      <c r="E800" s="57" t="s">
        <v>32</v>
      </c>
      <c r="F800" s="60" t="s">
        <v>330</v>
      </c>
      <c r="G800" s="68">
        <v>45344</v>
      </c>
      <c r="H800" s="57">
        <v>3200</v>
      </c>
      <c r="I800" s="61">
        <v>2800</v>
      </c>
      <c r="J800" s="69" t="s">
        <v>295</v>
      </c>
    </row>
    <row r="801" spans="1:10">
      <c r="A801" s="58">
        <v>800</v>
      </c>
      <c r="B801" s="57">
        <v>18800</v>
      </c>
      <c r="C801" s="57" t="s">
        <v>1488</v>
      </c>
      <c r="D801" s="57" t="s">
        <v>1489</v>
      </c>
      <c r="E801" s="57" t="s">
        <v>54</v>
      </c>
      <c r="F801" s="60" t="s">
        <v>330</v>
      </c>
      <c r="G801" s="68">
        <v>45344</v>
      </c>
      <c r="H801" s="57">
        <v>3200</v>
      </c>
      <c r="I801" s="61">
        <v>3200</v>
      </c>
      <c r="J801" s="69" t="s">
        <v>297</v>
      </c>
    </row>
    <row r="802" spans="1:10">
      <c r="A802" s="58">
        <v>801</v>
      </c>
      <c r="B802" s="57">
        <v>18801</v>
      </c>
      <c r="C802" s="57" t="s">
        <v>1490</v>
      </c>
      <c r="D802" s="57" t="s">
        <v>1474</v>
      </c>
      <c r="E802" s="57" t="s">
        <v>32</v>
      </c>
      <c r="F802" s="60" t="s">
        <v>330</v>
      </c>
      <c r="G802" s="68">
        <v>45344</v>
      </c>
      <c r="H802" s="57">
        <v>3200</v>
      </c>
      <c r="I802" s="61">
        <v>2500</v>
      </c>
      <c r="J802" s="69" t="s">
        <v>310</v>
      </c>
    </row>
    <row r="803" spans="1:10">
      <c r="A803" s="58">
        <v>802</v>
      </c>
      <c r="B803" s="57">
        <v>18802</v>
      </c>
      <c r="C803" s="57" t="s">
        <v>1491</v>
      </c>
      <c r="D803" s="57" t="s">
        <v>404</v>
      </c>
      <c r="E803" s="57" t="s">
        <v>32</v>
      </c>
      <c r="F803" s="60" t="s">
        <v>330</v>
      </c>
      <c r="G803" s="68">
        <v>45345</v>
      </c>
      <c r="H803" s="57">
        <v>3200</v>
      </c>
      <c r="I803" s="61">
        <v>2600</v>
      </c>
      <c r="J803" s="69" t="s">
        <v>322</v>
      </c>
    </row>
    <row r="804" spans="1:10">
      <c r="A804" s="58">
        <v>803</v>
      </c>
      <c r="B804" s="57">
        <v>18803</v>
      </c>
      <c r="C804" s="57" t="s">
        <v>1492</v>
      </c>
      <c r="D804" s="58" t="s">
        <v>1493</v>
      </c>
      <c r="E804" s="57" t="s">
        <v>32</v>
      </c>
      <c r="F804" s="60" t="s">
        <v>330</v>
      </c>
      <c r="G804" s="68">
        <v>45345</v>
      </c>
      <c r="H804" s="57">
        <v>3200</v>
      </c>
      <c r="I804" s="61">
        <v>3200</v>
      </c>
      <c r="J804" s="69" t="s">
        <v>337</v>
      </c>
    </row>
    <row r="805" spans="1:10">
      <c r="A805" s="58">
        <v>804</v>
      </c>
      <c r="B805" s="57">
        <v>18804</v>
      </c>
      <c r="C805" s="57" t="s">
        <v>1494</v>
      </c>
      <c r="D805" s="57" t="s">
        <v>1495</v>
      </c>
      <c r="E805" s="57" t="s">
        <v>54</v>
      </c>
      <c r="F805" s="60" t="s">
        <v>330</v>
      </c>
      <c r="G805" s="68">
        <v>45346</v>
      </c>
      <c r="H805" s="57">
        <v>3200</v>
      </c>
      <c r="I805" s="61">
        <v>3200</v>
      </c>
      <c r="J805" s="69" t="s">
        <v>300</v>
      </c>
    </row>
    <row r="806" spans="1:10">
      <c r="A806" s="58">
        <v>805</v>
      </c>
      <c r="B806" s="57">
        <v>18805</v>
      </c>
      <c r="C806" s="57" t="s">
        <v>1496</v>
      </c>
      <c r="D806" s="57" t="s">
        <v>1497</v>
      </c>
      <c r="E806" s="57" t="s">
        <v>54</v>
      </c>
      <c r="F806" s="60" t="s">
        <v>330</v>
      </c>
      <c r="G806" s="68">
        <v>45346</v>
      </c>
      <c r="H806" s="57">
        <v>3200</v>
      </c>
      <c r="I806" s="61">
        <v>2600</v>
      </c>
      <c r="J806" s="69" t="s">
        <v>35</v>
      </c>
    </row>
    <row r="807" spans="1:10">
      <c r="A807" s="58">
        <v>806</v>
      </c>
      <c r="B807" s="57">
        <v>18806</v>
      </c>
      <c r="C807" s="57" t="s">
        <v>1498</v>
      </c>
      <c r="D807" s="57" t="s">
        <v>363</v>
      </c>
      <c r="E807" s="57" t="s">
        <v>54</v>
      </c>
      <c r="F807" s="60" t="s">
        <v>330</v>
      </c>
      <c r="G807" s="68">
        <v>45346</v>
      </c>
      <c r="H807" s="57">
        <v>3200</v>
      </c>
      <c r="I807" s="61">
        <v>3200</v>
      </c>
      <c r="J807" s="69" t="s">
        <v>88</v>
      </c>
    </row>
    <row r="808" spans="1:10">
      <c r="A808" s="58">
        <v>807</v>
      </c>
      <c r="B808" s="57">
        <v>18807</v>
      </c>
      <c r="C808" s="57" t="s">
        <v>1499</v>
      </c>
      <c r="D808" s="57" t="s">
        <v>1500</v>
      </c>
      <c r="E808" s="57" t="s">
        <v>32</v>
      </c>
      <c r="F808" s="60" t="s">
        <v>330</v>
      </c>
      <c r="G808" s="68">
        <v>45348</v>
      </c>
      <c r="H808" s="57">
        <v>3200</v>
      </c>
      <c r="I808" s="61">
        <v>3200</v>
      </c>
      <c r="J808" s="69" t="s">
        <v>306</v>
      </c>
    </row>
    <row r="809" spans="1:10">
      <c r="A809" s="58">
        <v>808</v>
      </c>
      <c r="B809" s="57">
        <v>18808</v>
      </c>
      <c r="C809" s="57" t="s">
        <v>1501</v>
      </c>
      <c r="D809" s="57" t="s">
        <v>1502</v>
      </c>
      <c r="E809" s="57" t="s">
        <v>32</v>
      </c>
      <c r="F809" s="60" t="s">
        <v>330</v>
      </c>
      <c r="G809" s="68">
        <v>45348</v>
      </c>
      <c r="H809" s="57">
        <v>3200</v>
      </c>
      <c r="I809" s="61">
        <v>3200</v>
      </c>
      <c r="J809" s="69" t="s">
        <v>325</v>
      </c>
    </row>
    <row r="810" spans="1:10">
      <c r="A810" s="58">
        <v>809</v>
      </c>
      <c r="B810" s="57">
        <v>18809</v>
      </c>
      <c r="C810" s="57" t="s">
        <v>1503</v>
      </c>
      <c r="D810" s="58" t="s">
        <v>1215</v>
      </c>
      <c r="E810" s="57" t="s">
        <v>32</v>
      </c>
      <c r="F810" s="60" t="s">
        <v>330</v>
      </c>
      <c r="G810" s="68">
        <v>45348</v>
      </c>
      <c r="H810" s="57">
        <v>3200</v>
      </c>
      <c r="I810" s="61">
        <v>3200</v>
      </c>
      <c r="J810" s="69" t="s">
        <v>295</v>
      </c>
    </row>
    <row r="811" spans="1:10">
      <c r="A811" s="58">
        <v>810</v>
      </c>
      <c r="B811" s="57">
        <v>18810</v>
      </c>
      <c r="C811" s="57" t="s">
        <v>560</v>
      </c>
      <c r="D811" s="62" t="s">
        <v>84</v>
      </c>
      <c r="E811" s="57" t="s">
        <v>32</v>
      </c>
      <c r="F811" s="60" t="s">
        <v>330</v>
      </c>
      <c r="G811" s="68">
        <v>45348</v>
      </c>
      <c r="H811" s="57">
        <v>3200</v>
      </c>
      <c r="I811" s="61">
        <v>2600</v>
      </c>
      <c r="J811" s="69" t="s">
        <v>297</v>
      </c>
    </row>
    <row r="812" spans="1:10">
      <c r="A812" s="58">
        <v>811</v>
      </c>
      <c r="B812" s="57">
        <v>18811</v>
      </c>
      <c r="C812" s="57" t="s">
        <v>1236</v>
      </c>
      <c r="D812" s="57" t="s">
        <v>1182</v>
      </c>
      <c r="E812" s="57" t="s">
        <v>32</v>
      </c>
      <c r="F812" s="60" t="s">
        <v>330</v>
      </c>
      <c r="G812" s="68">
        <v>45349</v>
      </c>
      <c r="H812" s="57">
        <v>3200</v>
      </c>
      <c r="I812" s="61">
        <v>2800</v>
      </c>
      <c r="J812" s="69" t="s">
        <v>310</v>
      </c>
    </row>
    <row r="813" spans="1:10">
      <c r="A813" s="58">
        <v>812</v>
      </c>
      <c r="B813" s="57">
        <v>18812</v>
      </c>
      <c r="C813" s="57" t="s">
        <v>1504</v>
      </c>
      <c r="D813" s="57" t="s">
        <v>1505</v>
      </c>
      <c r="E813" s="57" t="s">
        <v>54</v>
      </c>
      <c r="F813" s="60" t="s">
        <v>330</v>
      </c>
      <c r="G813" s="68">
        <v>45349</v>
      </c>
      <c r="H813" s="57">
        <v>3200</v>
      </c>
      <c r="I813" s="61">
        <v>2800</v>
      </c>
      <c r="J813" s="69" t="s">
        <v>322</v>
      </c>
    </row>
    <row r="814" spans="1:10">
      <c r="A814" s="58">
        <v>813</v>
      </c>
      <c r="B814" s="57">
        <v>18813</v>
      </c>
      <c r="C814" s="57" t="s">
        <v>1506</v>
      </c>
      <c r="D814" s="57" t="s">
        <v>1090</v>
      </c>
      <c r="E814" s="57" t="s">
        <v>54</v>
      </c>
      <c r="F814" s="60" t="s">
        <v>330</v>
      </c>
      <c r="G814" s="68">
        <v>45350</v>
      </c>
      <c r="H814" s="57">
        <v>3200</v>
      </c>
      <c r="I814" s="61">
        <v>2600</v>
      </c>
      <c r="J814" s="69" t="s">
        <v>337</v>
      </c>
    </row>
    <row r="815" spans="1:10">
      <c r="A815" s="58">
        <v>814</v>
      </c>
      <c r="B815" s="57">
        <v>18814</v>
      </c>
      <c r="C815" s="57" t="s">
        <v>1507</v>
      </c>
      <c r="D815" s="57" t="s">
        <v>1118</v>
      </c>
      <c r="E815" s="57" t="s">
        <v>54</v>
      </c>
      <c r="F815" s="60" t="s">
        <v>330</v>
      </c>
      <c r="G815" s="68">
        <v>45350</v>
      </c>
      <c r="H815" s="57">
        <v>3200</v>
      </c>
      <c r="I815" s="61">
        <v>2600</v>
      </c>
      <c r="J815" s="69" t="s">
        <v>300</v>
      </c>
    </row>
    <row r="816" spans="1:10">
      <c r="A816" s="58">
        <v>815</v>
      </c>
      <c r="B816" s="57">
        <v>18815</v>
      </c>
      <c r="C816" s="57" t="s">
        <v>89</v>
      </c>
      <c r="D816" s="57" t="s">
        <v>1474</v>
      </c>
      <c r="E816" s="57" t="s">
        <v>32</v>
      </c>
      <c r="F816" s="60" t="s">
        <v>390</v>
      </c>
      <c r="G816" s="68">
        <v>45405</v>
      </c>
      <c r="H816" s="57">
        <v>7500</v>
      </c>
      <c r="I816" s="61">
        <v>6900</v>
      </c>
      <c r="J816" s="69" t="s">
        <v>322</v>
      </c>
    </row>
    <row r="817" spans="1:10">
      <c r="A817" s="58">
        <v>816</v>
      </c>
      <c r="B817" s="57">
        <v>18816</v>
      </c>
      <c r="C817" s="57" t="s">
        <v>1508</v>
      </c>
      <c r="D817" s="57" t="s">
        <v>663</v>
      </c>
      <c r="E817" s="57" t="s">
        <v>32</v>
      </c>
      <c r="F817" s="60" t="s">
        <v>390</v>
      </c>
      <c r="G817" s="68">
        <v>45405</v>
      </c>
      <c r="H817" s="57">
        <v>7500</v>
      </c>
      <c r="I817" s="61">
        <v>7500</v>
      </c>
      <c r="J817" s="69" t="s">
        <v>322</v>
      </c>
    </row>
    <row r="818" spans="1:10">
      <c r="A818" s="58">
        <v>817</v>
      </c>
      <c r="B818" s="57">
        <v>18817</v>
      </c>
      <c r="C818" s="57" t="s">
        <v>1509</v>
      </c>
      <c r="D818" s="57" t="s">
        <v>1510</v>
      </c>
      <c r="E818" s="57" t="s">
        <v>32</v>
      </c>
      <c r="F818" s="60" t="s">
        <v>390</v>
      </c>
      <c r="G818" s="68">
        <v>45406</v>
      </c>
      <c r="H818" s="57">
        <v>7500</v>
      </c>
      <c r="I818" s="61">
        <v>7500</v>
      </c>
      <c r="J818" s="69" t="s">
        <v>297</v>
      </c>
    </row>
    <row r="819" spans="1:10">
      <c r="A819" s="58">
        <v>818</v>
      </c>
      <c r="B819" s="57">
        <v>18818</v>
      </c>
      <c r="C819" s="57" t="s">
        <v>1511</v>
      </c>
      <c r="D819" s="57" t="s">
        <v>1512</v>
      </c>
      <c r="E819" s="57" t="s">
        <v>32</v>
      </c>
      <c r="F819" s="60" t="s">
        <v>390</v>
      </c>
      <c r="G819" s="68">
        <v>45406</v>
      </c>
      <c r="H819" s="57">
        <v>7500</v>
      </c>
      <c r="I819" s="61">
        <v>7500</v>
      </c>
      <c r="J819" s="69" t="s">
        <v>310</v>
      </c>
    </row>
    <row r="820" spans="1:10">
      <c r="A820" s="58">
        <v>819</v>
      </c>
      <c r="B820" s="57">
        <v>18819</v>
      </c>
      <c r="C820" s="57" t="s">
        <v>1513</v>
      </c>
      <c r="D820" s="58" t="s">
        <v>452</v>
      </c>
      <c r="E820" s="57" t="s">
        <v>32</v>
      </c>
      <c r="F820" s="60" t="s">
        <v>390</v>
      </c>
      <c r="G820" s="68">
        <v>45406</v>
      </c>
      <c r="H820" s="57">
        <v>7500</v>
      </c>
      <c r="I820" s="61">
        <v>7100</v>
      </c>
      <c r="J820" s="69" t="s">
        <v>297</v>
      </c>
    </row>
    <row r="821" spans="1:10">
      <c r="A821" s="58">
        <v>820</v>
      </c>
      <c r="B821" s="57">
        <v>18820</v>
      </c>
      <c r="C821" s="57" t="s">
        <v>1154</v>
      </c>
      <c r="D821" s="57" t="s">
        <v>317</v>
      </c>
      <c r="E821" s="57" t="s">
        <v>54</v>
      </c>
      <c r="F821" s="60" t="s">
        <v>390</v>
      </c>
      <c r="G821" s="68">
        <v>45407</v>
      </c>
      <c r="H821" s="57">
        <v>7500</v>
      </c>
      <c r="I821" s="61">
        <v>6900</v>
      </c>
      <c r="J821" s="69" t="s">
        <v>310</v>
      </c>
    </row>
    <row r="822" spans="1:10">
      <c r="A822" s="58">
        <v>821</v>
      </c>
      <c r="B822" s="57">
        <v>18821</v>
      </c>
      <c r="C822" s="57" t="s">
        <v>1514</v>
      </c>
      <c r="D822" s="57" t="s">
        <v>1515</v>
      </c>
      <c r="E822" s="57" t="s">
        <v>54</v>
      </c>
      <c r="F822" s="60" t="s">
        <v>390</v>
      </c>
      <c r="G822" s="68">
        <v>45407</v>
      </c>
      <c r="H822" s="57">
        <v>7500</v>
      </c>
      <c r="I822" s="61">
        <v>7100</v>
      </c>
      <c r="J822" s="69" t="s">
        <v>322</v>
      </c>
    </row>
    <row r="823" spans="1:10">
      <c r="A823" s="58">
        <v>822</v>
      </c>
      <c r="B823" s="57">
        <v>18822</v>
      </c>
      <c r="C823" s="57" t="s">
        <v>1516</v>
      </c>
      <c r="D823" s="57" t="s">
        <v>1517</v>
      </c>
      <c r="E823" s="57" t="s">
        <v>54</v>
      </c>
      <c r="F823" s="60" t="s">
        <v>390</v>
      </c>
      <c r="G823" s="68">
        <v>45409</v>
      </c>
      <c r="H823" s="57">
        <v>7500</v>
      </c>
      <c r="I823" s="61">
        <v>6900</v>
      </c>
      <c r="J823" s="69" t="s">
        <v>337</v>
      </c>
    </row>
    <row r="824" spans="1:10">
      <c r="A824" s="58">
        <v>823</v>
      </c>
      <c r="B824" s="57">
        <v>18823</v>
      </c>
      <c r="C824" s="57" t="s">
        <v>1518</v>
      </c>
      <c r="D824" s="57" t="s">
        <v>1519</v>
      </c>
      <c r="E824" s="57" t="s">
        <v>32</v>
      </c>
      <c r="F824" s="60" t="s">
        <v>390</v>
      </c>
      <c r="G824" s="68">
        <v>45411</v>
      </c>
      <c r="H824" s="57">
        <v>7500</v>
      </c>
      <c r="I824" s="61">
        <v>7500</v>
      </c>
      <c r="J824" s="69" t="s">
        <v>300</v>
      </c>
    </row>
    <row r="825" spans="1:10">
      <c r="A825" s="58">
        <v>824</v>
      </c>
      <c r="B825" s="57">
        <v>18824</v>
      </c>
      <c r="C825" s="57" t="s">
        <v>1520</v>
      </c>
      <c r="D825" s="57" t="s">
        <v>1112</v>
      </c>
      <c r="E825" s="57" t="s">
        <v>32</v>
      </c>
      <c r="F825" s="60" t="s">
        <v>390</v>
      </c>
      <c r="G825" s="68">
        <v>45411</v>
      </c>
      <c r="H825" s="57">
        <v>7500</v>
      </c>
      <c r="I825" s="61">
        <v>7500</v>
      </c>
      <c r="J825" s="69" t="s">
        <v>35</v>
      </c>
    </row>
    <row r="826" spans="1:10">
      <c r="A826" s="58">
        <v>825</v>
      </c>
      <c r="B826" s="57">
        <v>18825</v>
      </c>
      <c r="C826" s="62" t="s">
        <v>1521</v>
      </c>
      <c r="D826" s="57" t="s">
        <v>1118</v>
      </c>
      <c r="E826" s="57" t="s">
        <v>54</v>
      </c>
      <c r="F826" s="60" t="s">
        <v>390</v>
      </c>
      <c r="G826" s="68">
        <v>45542</v>
      </c>
      <c r="H826" s="57">
        <v>7500</v>
      </c>
      <c r="I826" s="61">
        <v>6900</v>
      </c>
      <c r="J826" s="69" t="s">
        <v>88</v>
      </c>
    </row>
    <row r="827" spans="1:10">
      <c r="A827" s="58">
        <v>826</v>
      </c>
      <c r="B827" s="57">
        <v>18826</v>
      </c>
      <c r="C827" s="57" t="s">
        <v>1522</v>
      </c>
      <c r="D827" s="57" t="s">
        <v>366</v>
      </c>
      <c r="E827" s="57" t="s">
        <v>32</v>
      </c>
      <c r="F827" s="60" t="s">
        <v>431</v>
      </c>
      <c r="G827" s="68">
        <v>45574</v>
      </c>
      <c r="H827" s="57">
        <v>1800</v>
      </c>
      <c r="I827" s="61">
        <v>1400</v>
      </c>
      <c r="J827" s="69" t="s">
        <v>306</v>
      </c>
    </row>
    <row r="828" spans="1:10">
      <c r="A828" s="58">
        <v>827</v>
      </c>
      <c r="B828" s="57">
        <v>18827</v>
      </c>
      <c r="C828" s="57" t="s">
        <v>1523</v>
      </c>
      <c r="D828" s="57" t="s">
        <v>1524</v>
      </c>
      <c r="E828" s="57" t="s">
        <v>32</v>
      </c>
      <c r="F828" s="60" t="s">
        <v>294</v>
      </c>
      <c r="G828" s="68">
        <v>45297</v>
      </c>
      <c r="H828" s="57">
        <v>4400</v>
      </c>
      <c r="I828" s="61">
        <v>3800</v>
      </c>
      <c r="J828" s="69" t="s">
        <v>325</v>
      </c>
    </row>
    <row r="829" spans="1:10">
      <c r="A829" s="58">
        <v>828</v>
      </c>
      <c r="B829" s="57">
        <v>18828</v>
      </c>
      <c r="C829" s="57" t="s">
        <v>1525</v>
      </c>
      <c r="D829" s="57" t="s">
        <v>1379</v>
      </c>
      <c r="E829" s="57" t="s">
        <v>32</v>
      </c>
      <c r="F829" s="60" t="s">
        <v>294</v>
      </c>
      <c r="G829" s="68">
        <v>45299</v>
      </c>
      <c r="H829" s="57">
        <v>4400</v>
      </c>
      <c r="I829" s="61">
        <v>4400</v>
      </c>
      <c r="J829" s="69" t="s">
        <v>295</v>
      </c>
    </row>
    <row r="830" spans="1:10">
      <c r="A830" s="58">
        <v>829</v>
      </c>
      <c r="B830" s="57">
        <v>18829</v>
      </c>
      <c r="C830" s="57" t="s">
        <v>1526</v>
      </c>
      <c r="D830" s="57" t="s">
        <v>1527</v>
      </c>
      <c r="E830" s="57" t="s">
        <v>32</v>
      </c>
      <c r="F830" s="60" t="s">
        <v>294</v>
      </c>
      <c r="G830" s="68">
        <v>45299</v>
      </c>
      <c r="H830" s="57">
        <v>4400</v>
      </c>
      <c r="I830" s="61">
        <v>3800</v>
      </c>
      <c r="J830" s="69" t="s">
        <v>297</v>
      </c>
    </row>
    <row r="831" spans="1:10">
      <c r="A831" s="58">
        <v>830</v>
      </c>
      <c r="B831" s="57">
        <v>18830</v>
      </c>
      <c r="C831" s="57" t="s">
        <v>1185</v>
      </c>
      <c r="D831" s="57" t="s">
        <v>884</v>
      </c>
      <c r="E831" s="57" t="s">
        <v>54</v>
      </c>
      <c r="F831" s="60" t="s">
        <v>73</v>
      </c>
      <c r="G831" s="68">
        <v>45324</v>
      </c>
      <c r="H831" s="57">
        <v>5500</v>
      </c>
      <c r="I831" s="61">
        <v>5500</v>
      </c>
      <c r="J831" s="69" t="s">
        <v>310</v>
      </c>
    </row>
    <row r="832" spans="1:10">
      <c r="A832" s="58">
        <v>831</v>
      </c>
      <c r="B832" s="57">
        <v>18831</v>
      </c>
      <c r="C832" s="57" t="s">
        <v>1167</v>
      </c>
      <c r="D832" s="57" t="s">
        <v>1528</v>
      </c>
      <c r="E832" s="57" t="s">
        <v>54</v>
      </c>
      <c r="F832" s="60" t="s">
        <v>73</v>
      </c>
      <c r="G832" s="68">
        <v>45324</v>
      </c>
      <c r="H832" s="57">
        <v>5500</v>
      </c>
      <c r="I832" s="61">
        <v>5500</v>
      </c>
      <c r="J832" s="69" t="s">
        <v>322</v>
      </c>
    </row>
    <row r="833" spans="1:10">
      <c r="A833" s="58">
        <v>832</v>
      </c>
      <c r="B833" s="57">
        <v>18832</v>
      </c>
      <c r="C833" s="57" t="s">
        <v>1177</v>
      </c>
      <c r="D833" s="58" t="s">
        <v>1529</v>
      </c>
      <c r="E833" s="57" t="s">
        <v>54</v>
      </c>
      <c r="F833" s="60" t="s">
        <v>73</v>
      </c>
      <c r="G833" s="68">
        <v>45324</v>
      </c>
      <c r="H833" s="57">
        <v>5500</v>
      </c>
      <c r="I833" s="61">
        <v>5500</v>
      </c>
      <c r="J833" s="69" t="s">
        <v>337</v>
      </c>
    </row>
    <row r="834" spans="1:10">
      <c r="A834" s="58">
        <v>833</v>
      </c>
      <c r="B834" s="57">
        <v>18833</v>
      </c>
      <c r="C834" s="57" t="s">
        <v>1181</v>
      </c>
      <c r="D834" s="57" t="s">
        <v>1530</v>
      </c>
      <c r="E834" s="57" t="s">
        <v>32</v>
      </c>
      <c r="F834" s="60" t="s">
        <v>73</v>
      </c>
      <c r="G834" s="68">
        <v>45325</v>
      </c>
      <c r="H834" s="57">
        <v>5500</v>
      </c>
      <c r="I834" s="61">
        <v>5100</v>
      </c>
      <c r="J834" s="69" t="s">
        <v>300</v>
      </c>
    </row>
    <row r="835" spans="1:10">
      <c r="A835" s="58">
        <v>834</v>
      </c>
      <c r="B835" s="57">
        <v>18834</v>
      </c>
      <c r="C835" s="57" t="s">
        <v>751</v>
      </c>
      <c r="D835" s="57" t="s">
        <v>474</v>
      </c>
      <c r="E835" s="57" t="s">
        <v>32</v>
      </c>
      <c r="F835" s="60" t="s">
        <v>73</v>
      </c>
      <c r="G835" s="68">
        <v>45325</v>
      </c>
      <c r="H835" s="57">
        <v>5500</v>
      </c>
      <c r="I835" s="61">
        <v>5100</v>
      </c>
      <c r="J835" s="69" t="s">
        <v>35</v>
      </c>
    </row>
    <row r="836" spans="1:10">
      <c r="A836" s="58">
        <v>835</v>
      </c>
      <c r="B836" s="57">
        <v>18835</v>
      </c>
      <c r="C836" s="57" t="s">
        <v>1173</v>
      </c>
      <c r="D836" s="57" t="s">
        <v>1531</v>
      </c>
      <c r="E836" s="57" t="s">
        <v>32</v>
      </c>
      <c r="F836" s="60" t="s">
        <v>73</v>
      </c>
      <c r="G836" s="68">
        <v>45327</v>
      </c>
      <c r="H836" s="57">
        <v>5500</v>
      </c>
      <c r="I836" s="61">
        <v>2800</v>
      </c>
      <c r="J836" s="69" t="s">
        <v>88</v>
      </c>
    </row>
    <row r="837" spans="1:10">
      <c r="A837" s="58">
        <v>836</v>
      </c>
      <c r="B837" s="57">
        <v>18836</v>
      </c>
      <c r="C837" s="57" t="s">
        <v>1169</v>
      </c>
      <c r="D837" s="57" t="s">
        <v>1371</v>
      </c>
      <c r="E837" s="57" t="s">
        <v>32</v>
      </c>
      <c r="F837" s="60" t="s">
        <v>73</v>
      </c>
      <c r="G837" s="68">
        <v>45327</v>
      </c>
      <c r="H837" s="57">
        <v>5500</v>
      </c>
      <c r="I837" s="61">
        <v>4900</v>
      </c>
      <c r="J837" s="69" t="s">
        <v>306</v>
      </c>
    </row>
    <row r="838" spans="1:10">
      <c r="A838" s="58">
        <v>837</v>
      </c>
      <c r="B838" s="57">
        <v>18837</v>
      </c>
      <c r="C838" s="57" t="s">
        <v>527</v>
      </c>
      <c r="D838" s="57" t="s">
        <v>1112</v>
      </c>
      <c r="E838" s="57" t="s">
        <v>32</v>
      </c>
      <c r="F838" s="60" t="s">
        <v>73</v>
      </c>
      <c r="G838" s="68">
        <v>45327</v>
      </c>
      <c r="H838" s="57">
        <v>5500</v>
      </c>
      <c r="I838" s="61">
        <v>4900</v>
      </c>
      <c r="J838" s="69" t="s">
        <v>325</v>
      </c>
    </row>
    <row r="839" spans="1:10">
      <c r="A839" s="58">
        <v>838</v>
      </c>
      <c r="B839" s="57">
        <v>18838</v>
      </c>
      <c r="C839" s="57" t="s">
        <v>439</v>
      </c>
      <c r="D839" s="57" t="s">
        <v>1515</v>
      </c>
      <c r="E839" s="57" t="s">
        <v>54</v>
      </c>
      <c r="F839" s="60" t="s">
        <v>73</v>
      </c>
      <c r="G839" s="68">
        <v>45328</v>
      </c>
      <c r="H839" s="57">
        <v>5500</v>
      </c>
      <c r="I839" s="61">
        <v>5500</v>
      </c>
      <c r="J839" s="69" t="s">
        <v>295</v>
      </c>
    </row>
    <row r="840" spans="1:10">
      <c r="A840" s="58">
        <v>839</v>
      </c>
      <c r="B840" s="57">
        <v>18839</v>
      </c>
      <c r="C840" s="57" t="s">
        <v>1171</v>
      </c>
      <c r="D840" s="57" t="s">
        <v>1532</v>
      </c>
      <c r="E840" s="57" t="s">
        <v>54</v>
      </c>
      <c r="F840" s="60" t="s">
        <v>73</v>
      </c>
      <c r="G840" s="68">
        <v>45328</v>
      </c>
      <c r="H840" s="57">
        <v>5500</v>
      </c>
      <c r="I840" s="61">
        <v>4900</v>
      </c>
      <c r="J840" s="69" t="s">
        <v>297</v>
      </c>
    </row>
    <row r="841" spans="1:10">
      <c r="A841" s="58">
        <v>840</v>
      </c>
      <c r="B841" s="57">
        <v>18840</v>
      </c>
      <c r="C841" s="57" t="s">
        <v>1186</v>
      </c>
      <c r="D841" s="57" t="s">
        <v>1533</v>
      </c>
      <c r="E841" s="57" t="s">
        <v>54</v>
      </c>
      <c r="F841" s="60" t="s">
        <v>73</v>
      </c>
      <c r="G841" s="68">
        <v>45328</v>
      </c>
      <c r="H841" s="57">
        <v>5500</v>
      </c>
      <c r="I841" s="61">
        <v>5500</v>
      </c>
      <c r="J841" s="69" t="s">
        <v>310</v>
      </c>
    </row>
    <row r="842" spans="1:10">
      <c r="A842" s="58">
        <v>841</v>
      </c>
      <c r="B842" s="57">
        <v>18841</v>
      </c>
      <c r="C842" s="57" t="s">
        <v>1188</v>
      </c>
      <c r="D842" s="57" t="s">
        <v>1534</v>
      </c>
      <c r="E842" s="57" t="s">
        <v>32</v>
      </c>
      <c r="F842" s="60" t="s">
        <v>73</v>
      </c>
      <c r="G842" s="68">
        <v>45328</v>
      </c>
      <c r="H842" s="57">
        <v>5500</v>
      </c>
      <c r="I842" s="61">
        <v>4900</v>
      </c>
      <c r="J842" s="69" t="s">
        <v>322</v>
      </c>
    </row>
    <row r="843" spans="1:10">
      <c r="A843" s="58">
        <v>842</v>
      </c>
      <c r="B843" s="57">
        <v>18842</v>
      </c>
      <c r="C843" s="57" t="s">
        <v>1175</v>
      </c>
      <c r="D843" s="57" t="s">
        <v>1535</v>
      </c>
      <c r="E843" s="57" t="s">
        <v>32</v>
      </c>
      <c r="F843" s="60" t="s">
        <v>73</v>
      </c>
      <c r="G843" s="68">
        <v>45329</v>
      </c>
      <c r="H843" s="57">
        <v>5500</v>
      </c>
      <c r="I843" s="61">
        <v>5500</v>
      </c>
      <c r="J843" s="69" t="s">
        <v>337</v>
      </c>
    </row>
    <row r="844" spans="1:10">
      <c r="A844" s="58">
        <v>843</v>
      </c>
      <c r="B844" s="57">
        <v>18843</v>
      </c>
      <c r="C844" s="57" t="s">
        <v>1179</v>
      </c>
      <c r="D844" s="57" t="s">
        <v>1536</v>
      </c>
      <c r="E844" s="57" t="s">
        <v>32</v>
      </c>
      <c r="F844" s="60" t="s">
        <v>73</v>
      </c>
      <c r="G844" s="68">
        <v>45329</v>
      </c>
      <c r="H844" s="57">
        <v>5500</v>
      </c>
      <c r="I844" s="61">
        <v>5500</v>
      </c>
      <c r="J844" s="69" t="s">
        <v>300</v>
      </c>
    </row>
    <row r="845" spans="1:10">
      <c r="A845" s="58">
        <v>844</v>
      </c>
      <c r="B845" s="57">
        <v>18844</v>
      </c>
      <c r="C845" s="57" t="s">
        <v>1183</v>
      </c>
      <c r="D845" s="57" t="s">
        <v>318</v>
      </c>
      <c r="E845" s="57" t="s">
        <v>32</v>
      </c>
      <c r="F845" s="60" t="s">
        <v>73</v>
      </c>
      <c r="G845" s="68">
        <v>45330</v>
      </c>
      <c r="H845" s="57">
        <v>5500</v>
      </c>
      <c r="I845" s="61">
        <v>5500</v>
      </c>
      <c r="J845" s="69" t="s">
        <v>322</v>
      </c>
    </row>
    <row r="846" spans="1:10">
      <c r="A846" s="58">
        <v>845</v>
      </c>
      <c r="B846" s="57">
        <v>18845</v>
      </c>
      <c r="C846" s="57" t="s">
        <v>1537</v>
      </c>
      <c r="D846" s="57" t="s">
        <v>1538</v>
      </c>
      <c r="E846" s="57" t="s">
        <v>32</v>
      </c>
      <c r="F846" s="60" t="s">
        <v>330</v>
      </c>
      <c r="G846" s="68">
        <v>45350</v>
      </c>
      <c r="H846" s="57">
        <v>3200</v>
      </c>
      <c r="I846" s="61">
        <v>450</v>
      </c>
      <c r="J846" s="69" t="s">
        <v>322</v>
      </c>
    </row>
    <row r="847" spans="1:10">
      <c r="A847" s="58">
        <v>846</v>
      </c>
      <c r="B847" s="57">
        <v>18846</v>
      </c>
      <c r="C847" s="57" t="s">
        <v>1539</v>
      </c>
      <c r="D847" s="57" t="s">
        <v>1540</v>
      </c>
      <c r="E847" s="57" t="s">
        <v>32</v>
      </c>
      <c r="F847" s="60" t="s">
        <v>330</v>
      </c>
      <c r="G847" s="68">
        <v>45350</v>
      </c>
      <c r="H847" s="57">
        <v>3200</v>
      </c>
      <c r="I847" s="61">
        <v>3200</v>
      </c>
      <c r="J847" s="69" t="s">
        <v>297</v>
      </c>
    </row>
    <row r="848" spans="1:10">
      <c r="A848" s="58">
        <v>847</v>
      </c>
      <c r="B848" s="57">
        <v>18847</v>
      </c>
      <c r="C848" s="57" t="s">
        <v>1541</v>
      </c>
      <c r="D848" s="57" t="s">
        <v>1542</v>
      </c>
      <c r="E848" s="57" t="s">
        <v>32</v>
      </c>
      <c r="F848" s="60" t="s">
        <v>330</v>
      </c>
      <c r="G848" s="68">
        <v>45350</v>
      </c>
      <c r="H848" s="57">
        <v>3200</v>
      </c>
      <c r="I848" s="61">
        <v>2600</v>
      </c>
      <c r="J848" s="69" t="s">
        <v>310</v>
      </c>
    </row>
    <row r="849" spans="1:10">
      <c r="A849" s="58">
        <v>848</v>
      </c>
      <c r="B849" s="57">
        <v>18848</v>
      </c>
      <c r="C849" s="57" t="s">
        <v>83</v>
      </c>
      <c r="D849" s="57" t="s">
        <v>732</v>
      </c>
      <c r="E849" s="57" t="s">
        <v>32</v>
      </c>
      <c r="F849" s="60" t="s">
        <v>330</v>
      </c>
      <c r="G849" s="68">
        <v>45350</v>
      </c>
      <c r="H849" s="57">
        <v>3200</v>
      </c>
      <c r="I849" s="61">
        <v>2800</v>
      </c>
      <c r="J849" s="69" t="s">
        <v>310</v>
      </c>
    </row>
    <row r="850" spans="1:10">
      <c r="A850" s="58">
        <v>849</v>
      </c>
      <c r="B850" s="57">
        <v>18849</v>
      </c>
      <c r="C850" s="57" t="s">
        <v>89</v>
      </c>
      <c r="D850" s="57" t="s">
        <v>498</v>
      </c>
      <c r="E850" s="57" t="s">
        <v>32</v>
      </c>
      <c r="F850" s="60" t="s">
        <v>330</v>
      </c>
      <c r="G850" s="68">
        <v>45352</v>
      </c>
      <c r="H850" s="57">
        <v>3200</v>
      </c>
      <c r="I850" s="61">
        <v>2600</v>
      </c>
      <c r="J850" s="69" t="s">
        <v>325</v>
      </c>
    </row>
    <row r="851" spans="1:10">
      <c r="A851" s="58">
        <v>850</v>
      </c>
      <c r="B851" s="57">
        <v>18850</v>
      </c>
      <c r="C851" s="57" t="s">
        <v>439</v>
      </c>
      <c r="D851" s="57" t="s">
        <v>491</v>
      </c>
      <c r="E851" s="57" t="s">
        <v>32</v>
      </c>
      <c r="F851" s="60" t="s">
        <v>294</v>
      </c>
      <c r="G851" s="68">
        <v>45547</v>
      </c>
      <c r="H851" s="57">
        <v>4400</v>
      </c>
      <c r="I851" s="61">
        <v>3800</v>
      </c>
      <c r="J851" s="69" t="s">
        <v>295</v>
      </c>
    </row>
    <row r="852" spans="1:10">
      <c r="A852" s="58">
        <v>851</v>
      </c>
      <c r="B852" s="57">
        <v>18851</v>
      </c>
      <c r="C852" s="57" t="s">
        <v>1167</v>
      </c>
      <c r="D852" s="57" t="s">
        <v>1543</v>
      </c>
      <c r="E852" s="57" t="s">
        <v>54</v>
      </c>
      <c r="F852" s="60" t="s">
        <v>294</v>
      </c>
      <c r="G852" s="68">
        <v>45551</v>
      </c>
      <c r="H852" s="57">
        <v>4400</v>
      </c>
      <c r="I852" s="61">
        <v>4400</v>
      </c>
      <c r="J852" s="69" t="s">
        <v>297</v>
      </c>
    </row>
    <row r="853" spans="1:10">
      <c r="A853" s="58">
        <v>852</v>
      </c>
      <c r="B853" s="57">
        <v>18852</v>
      </c>
      <c r="C853" s="57" t="s">
        <v>1169</v>
      </c>
      <c r="D853" s="57" t="s">
        <v>1544</v>
      </c>
      <c r="E853" s="57" t="s">
        <v>32</v>
      </c>
      <c r="F853" s="60" t="s">
        <v>294</v>
      </c>
      <c r="G853" s="68">
        <v>45559</v>
      </c>
      <c r="H853" s="57">
        <v>4400</v>
      </c>
      <c r="I853" s="61">
        <v>4000</v>
      </c>
      <c r="J853" s="69" t="s">
        <v>310</v>
      </c>
    </row>
    <row r="854" spans="1:10">
      <c r="A854" s="58">
        <v>853</v>
      </c>
      <c r="B854" s="57">
        <v>18853</v>
      </c>
      <c r="C854" s="57" t="s">
        <v>1173</v>
      </c>
      <c r="D854" s="57" t="s">
        <v>1545</v>
      </c>
      <c r="E854" s="57" t="s">
        <v>32</v>
      </c>
      <c r="F854" s="60" t="s">
        <v>294</v>
      </c>
      <c r="G854" s="68">
        <v>45560</v>
      </c>
      <c r="H854" s="57">
        <v>4400</v>
      </c>
      <c r="I854" s="61">
        <v>3800</v>
      </c>
      <c r="J854" s="69" t="s">
        <v>322</v>
      </c>
    </row>
    <row r="855" spans="1:10">
      <c r="A855" s="58">
        <v>854</v>
      </c>
      <c r="B855" s="57">
        <v>18854</v>
      </c>
      <c r="C855" s="57" t="s">
        <v>527</v>
      </c>
      <c r="D855" s="57" t="s">
        <v>945</v>
      </c>
      <c r="E855" s="57" t="s">
        <v>54</v>
      </c>
      <c r="F855" s="60" t="s">
        <v>294</v>
      </c>
      <c r="G855" s="68">
        <v>45561</v>
      </c>
      <c r="H855" s="57">
        <v>4400</v>
      </c>
      <c r="I855" s="61">
        <v>4400</v>
      </c>
      <c r="J855" s="69" t="s">
        <v>337</v>
      </c>
    </row>
    <row r="856" spans="1:10">
      <c r="A856" s="58">
        <v>855</v>
      </c>
      <c r="B856" s="57">
        <v>18855</v>
      </c>
      <c r="C856" s="57" t="s">
        <v>1171</v>
      </c>
      <c r="D856" s="57" t="s">
        <v>1054</v>
      </c>
      <c r="E856" s="57" t="s">
        <v>54</v>
      </c>
      <c r="F856" s="60" t="s">
        <v>294</v>
      </c>
      <c r="G856" s="68">
        <v>45563</v>
      </c>
      <c r="H856" s="57">
        <v>4400</v>
      </c>
      <c r="I856" s="61">
        <v>4000</v>
      </c>
      <c r="J856" s="69" t="s">
        <v>300</v>
      </c>
    </row>
    <row r="857" spans="1:10">
      <c r="A857" s="58">
        <v>856</v>
      </c>
      <c r="B857" s="57">
        <v>18856</v>
      </c>
      <c r="C857" s="57" t="s">
        <v>1175</v>
      </c>
      <c r="D857" s="57" t="s">
        <v>1546</v>
      </c>
      <c r="E857" s="57" t="s">
        <v>54</v>
      </c>
      <c r="F857" s="60" t="s">
        <v>294</v>
      </c>
      <c r="G857" s="68">
        <v>45563</v>
      </c>
      <c r="H857" s="57">
        <v>4400</v>
      </c>
      <c r="I857" s="61">
        <v>3800</v>
      </c>
      <c r="J857" s="69" t="s">
        <v>322</v>
      </c>
    </row>
    <row r="858" spans="1:10">
      <c r="A858" s="58">
        <v>857</v>
      </c>
      <c r="B858" s="57">
        <v>18857</v>
      </c>
      <c r="C858" s="57" t="s">
        <v>1177</v>
      </c>
      <c r="D858" s="58" t="s">
        <v>1547</v>
      </c>
      <c r="E858" s="57" t="s">
        <v>32</v>
      </c>
      <c r="F858" s="60" t="s">
        <v>294</v>
      </c>
      <c r="G858" s="68">
        <v>45565</v>
      </c>
      <c r="H858" s="57">
        <v>4400</v>
      </c>
      <c r="I858" s="61">
        <v>4400</v>
      </c>
      <c r="J858" s="69" t="s">
        <v>322</v>
      </c>
    </row>
    <row r="859" spans="1:10">
      <c r="A859" s="58">
        <v>858</v>
      </c>
      <c r="B859" s="57">
        <v>18858</v>
      </c>
      <c r="C859" s="57" t="s">
        <v>1179</v>
      </c>
      <c r="D859" s="57" t="s">
        <v>1548</v>
      </c>
      <c r="E859" s="57" t="s">
        <v>32</v>
      </c>
      <c r="F859" s="60" t="s">
        <v>294</v>
      </c>
      <c r="G859" s="68">
        <v>45565</v>
      </c>
      <c r="H859" s="57">
        <v>4400</v>
      </c>
      <c r="I859" s="61">
        <v>4400</v>
      </c>
      <c r="J859" s="69" t="s">
        <v>297</v>
      </c>
    </row>
    <row r="860" spans="1:10">
      <c r="A860" s="58">
        <v>859</v>
      </c>
      <c r="B860" s="57">
        <v>18859</v>
      </c>
      <c r="C860" s="57" t="s">
        <v>1181</v>
      </c>
      <c r="D860" s="57" t="s">
        <v>461</v>
      </c>
      <c r="E860" s="57" t="s">
        <v>32</v>
      </c>
      <c r="F860" s="60" t="s">
        <v>294</v>
      </c>
      <c r="G860" s="68">
        <v>45566</v>
      </c>
      <c r="H860" s="57">
        <v>4400</v>
      </c>
      <c r="I860" s="61">
        <v>2800</v>
      </c>
      <c r="J860" s="69" t="s">
        <v>310</v>
      </c>
    </row>
    <row r="861" spans="1:10">
      <c r="A861" s="58">
        <v>860</v>
      </c>
      <c r="B861" s="57">
        <v>18860</v>
      </c>
      <c r="C861" s="57" t="s">
        <v>751</v>
      </c>
      <c r="D861" s="57" t="s">
        <v>740</v>
      </c>
      <c r="E861" s="57" t="s">
        <v>54</v>
      </c>
      <c r="F861" s="60" t="s">
        <v>294</v>
      </c>
      <c r="G861" s="68">
        <v>45567</v>
      </c>
      <c r="H861" s="57">
        <v>4400</v>
      </c>
      <c r="I861" s="61">
        <v>4400</v>
      </c>
      <c r="J861" s="69" t="s">
        <v>297</v>
      </c>
    </row>
    <row r="862" spans="1:10">
      <c r="A862" s="58">
        <v>861</v>
      </c>
      <c r="B862" s="57">
        <v>18861</v>
      </c>
      <c r="C862" s="57" t="s">
        <v>1183</v>
      </c>
      <c r="D862" s="57" t="s">
        <v>365</v>
      </c>
      <c r="E862" s="57" t="s">
        <v>32</v>
      </c>
      <c r="F862" s="60" t="s">
        <v>294</v>
      </c>
      <c r="G862" s="68">
        <v>45567</v>
      </c>
      <c r="H862" s="57">
        <v>4400</v>
      </c>
      <c r="I862" s="61">
        <v>4400</v>
      </c>
      <c r="J862" s="69" t="s">
        <v>310</v>
      </c>
    </row>
    <row r="863" spans="1:10">
      <c r="A863" s="58">
        <v>862</v>
      </c>
      <c r="B863" s="57">
        <v>18862</v>
      </c>
      <c r="C863" s="57" t="s">
        <v>1185</v>
      </c>
      <c r="D863" s="57" t="s">
        <v>611</v>
      </c>
      <c r="E863" s="57" t="s">
        <v>32</v>
      </c>
      <c r="F863" s="60" t="s">
        <v>294</v>
      </c>
      <c r="G863" s="68">
        <v>45572</v>
      </c>
      <c r="H863" s="57">
        <v>4400</v>
      </c>
      <c r="I863" s="61">
        <v>2800</v>
      </c>
      <c r="J863" s="69" t="s">
        <v>322</v>
      </c>
    </row>
    <row r="864" spans="1:10">
      <c r="A864" s="58">
        <v>863</v>
      </c>
      <c r="B864" s="57">
        <v>18863</v>
      </c>
      <c r="C864" s="57" t="s">
        <v>1186</v>
      </c>
      <c r="D864" s="57" t="s">
        <v>1549</v>
      </c>
      <c r="E864" s="57" t="s">
        <v>32</v>
      </c>
      <c r="F864" s="60" t="s">
        <v>294</v>
      </c>
      <c r="G864" s="68">
        <v>45572</v>
      </c>
      <c r="H864" s="57">
        <v>4400</v>
      </c>
      <c r="I864" s="61">
        <v>4400</v>
      </c>
      <c r="J864" s="69" t="s">
        <v>337</v>
      </c>
    </row>
    <row r="865" spans="1:10">
      <c r="A865" s="58">
        <v>864</v>
      </c>
      <c r="B865" s="57">
        <v>18864</v>
      </c>
      <c r="C865" s="57" t="s">
        <v>1188</v>
      </c>
      <c r="D865" s="57" t="s">
        <v>1550</v>
      </c>
      <c r="E865" s="57" t="s">
        <v>32</v>
      </c>
      <c r="F865" s="60" t="s">
        <v>294</v>
      </c>
      <c r="G865" s="68">
        <v>45574</v>
      </c>
      <c r="H865" s="57">
        <v>4400</v>
      </c>
      <c r="I865" s="61">
        <v>3800</v>
      </c>
      <c r="J865" s="69" t="s">
        <v>300</v>
      </c>
    </row>
    <row r="866" spans="1:10">
      <c r="A866" s="58">
        <v>865</v>
      </c>
      <c r="B866" s="57">
        <v>18865</v>
      </c>
      <c r="C866" s="58" t="s">
        <v>445</v>
      </c>
      <c r="D866" s="57" t="s">
        <v>822</v>
      </c>
      <c r="E866" s="57" t="s">
        <v>54</v>
      </c>
      <c r="F866" s="64" t="s">
        <v>73</v>
      </c>
      <c r="G866" s="68">
        <v>45586</v>
      </c>
      <c r="H866" s="57">
        <v>5500</v>
      </c>
      <c r="I866" s="61">
        <v>5500</v>
      </c>
      <c r="J866" s="69" t="s">
        <v>35</v>
      </c>
    </row>
    <row r="867" spans="1:10">
      <c r="A867" s="58">
        <v>866</v>
      </c>
      <c r="B867" s="57">
        <v>18866</v>
      </c>
      <c r="C867" s="58" t="s">
        <v>1551</v>
      </c>
      <c r="D867" s="57" t="s">
        <v>1552</v>
      </c>
      <c r="E867" s="57" t="s">
        <v>32</v>
      </c>
      <c r="F867" s="64" t="s">
        <v>73</v>
      </c>
      <c r="G867" s="68">
        <v>45587</v>
      </c>
      <c r="H867" s="57">
        <v>5500</v>
      </c>
      <c r="I867" s="61">
        <v>5500</v>
      </c>
      <c r="J867" s="69" t="s">
        <v>88</v>
      </c>
    </row>
    <row r="868" spans="1:10">
      <c r="A868" s="58">
        <v>867</v>
      </c>
      <c r="B868" s="57">
        <v>18867</v>
      </c>
      <c r="C868" s="58" t="s">
        <v>1553</v>
      </c>
      <c r="D868" s="57" t="s">
        <v>464</v>
      </c>
      <c r="E868" s="57" t="s">
        <v>54</v>
      </c>
      <c r="F868" s="65" t="s">
        <v>294</v>
      </c>
      <c r="G868" s="68">
        <v>45591</v>
      </c>
      <c r="H868" s="57">
        <v>4400</v>
      </c>
      <c r="I868" s="61">
        <v>4400</v>
      </c>
      <c r="J868" s="69" t="s">
        <v>306</v>
      </c>
    </row>
    <row r="869" spans="1:10">
      <c r="A869" s="58">
        <v>868</v>
      </c>
      <c r="B869" s="57">
        <v>18868</v>
      </c>
      <c r="C869" s="58" t="s">
        <v>1554</v>
      </c>
      <c r="D869" s="57" t="s">
        <v>1555</v>
      </c>
      <c r="E869" s="57" t="s">
        <v>32</v>
      </c>
      <c r="F869" s="65" t="s">
        <v>294</v>
      </c>
      <c r="G869" s="68">
        <v>45593</v>
      </c>
      <c r="H869" s="57">
        <v>4400</v>
      </c>
      <c r="I869" s="61">
        <v>3800</v>
      </c>
      <c r="J869" s="69" t="s">
        <v>325</v>
      </c>
    </row>
    <row r="870" spans="1:10">
      <c r="A870" s="58">
        <v>869</v>
      </c>
      <c r="B870" s="57">
        <v>18869</v>
      </c>
      <c r="C870" s="58" t="s">
        <v>1556</v>
      </c>
      <c r="D870" s="57" t="s">
        <v>1557</v>
      </c>
      <c r="E870" s="57" t="s">
        <v>54</v>
      </c>
      <c r="F870" s="65" t="s">
        <v>294</v>
      </c>
      <c r="G870" s="68">
        <v>45593</v>
      </c>
      <c r="H870" s="57">
        <v>4400</v>
      </c>
      <c r="I870" s="61">
        <v>3800</v>
      </c>
      <c r="J870" s="69" t="s">
        <v>295</v>
      </c>
    </row>
    <row r="871" spans="1:10">
      <c r="A871" s="58">
        <v>870</v>
      </c>
      <c r="B871" s="57">
        <v>18870</v>
      </c>
      <c r="C871" s="58" t="s">
        <v>1558</v>
      </c>
      <c r="D871" s="57" t="s">
        <v>1559</v>
      </c>
      <c r="E871" s="57" t="s">
        <v>54</v>
      </c>
      <c r="F871" s="64" t="s">
        <v>73</v>
      </c>
      <c r="G871" s="68">
        <v>45607</v>
      </c>
      <c r="H871" s="57">
        <v>5500</v>
      </c>
      <c r="I871" s="61">
        <v>2600</v>
      </c>
      <c r="J871" s="69" t="s">
        <v>297</v>
      </c>
    </row>
    <row r="872" spans="1:10">
      <c r="A872" s="58">
        <v>871</v>
      </c>
      <c r="B872" s="57">
        <v>18871</v>
      </c>
      <c r="C872" s="58" t="s">
        <v>405</v>
      </c>
      <c r="D872" s="57" t="s">
        <v>1560</v>
      </c>
      <c r="E872" s="57" t="s">
        <v>54</v>
      </c>
      <c r="F872" s="58" t="s">
        <v>1140</v>
      </c>
      <c r="G872" s="68">
        <v>45608</v>
      </c>
      <c r="H872" s="57">
        <v>2200</v>
      </c>
      <c r="I872" s="61">
        <v>1600</v>
      </c>
      <c r="J872" s="69" t="s">
        <v>310</v>
      </c>
    </row>
    <row r="873" spans="1:10">
      <c r="A873" s="58">
        <v>872</v>
      </c>
      <c r="B873" s="57">
        <v>18872</v>
      </c>
      <c r="C873" s="58" t="s">
        <v>1561</v>
      </c>
      <c r="D873" s="57" t="s">
        <v>660</v>
      </c>
      <c r="E873" s="57" t="s">
        <v>32</v>
      </c>
      <c r="F873" s="60" t="s">
        <v>390</v>
      </c>
      <c r="G873" s="68">
        <v>45612</v>
      </c>
      <c r="H873" s="57">
        <v>7500</v>
      </c>
      <c r="I873" s="61">
        <v>7500</v>
      </c>
      <c r="J873" s="69" t="s">
        <v>297</v>
      </c>
    </row>
    <row r="874" spans="1:10">
      <c r="A874" s="58">
        <v>873</v>
      </c>
      <c r="B874" s="57">
        <v>18873</v>
      </c>
      <c r="C874" s="58" t="s">
        <v>83</v>
      </c>
      <c r="D874" s="57" t="s">
        <v>1255</v>
      </c>
      <c r="E874" s="57" t="s">
        <v>32</v>
      </c>
      <c r="F874" s="64" t="s">
        <v>73</v>
      </c>
      <c r="G874" s="68">
        <v>45616</v>
      </c>
      <c r="H874" s="57">
        <v>5500</v>
      </c>
      <c r="I874" s="61">
        <v>5500</v>
      </c>
      <c r="J874" s="69" t="s">
        <v>310</v>
      </c>
    </row>
    <row r="875" spans="1:10">
      <c r="A875" s="58">
        <v>874</v>
      </c>
      <c r="B875" s="57">
        <v>18874</v>
      </c>
      <c r="C875" s="58" t="s">
        <v>1562</v>
      </c>
      <c r="D875" s="57" t="s">
        <v>1198</v>
      </c>
      <c r="E875" s="57" t="s">
        <v>54</v>
      </c>
      <c r="F875" s="60" t="s">
        <v>330</v>
      </c>
      <c r="G875" s="68">
        <v>45657</v>
      </c>
      <c r="H875" s="57">
        <v>3200</v>
      </c>
      <c r="I875" s="61">
        <v>2600</v>
      </c>
      <c r="J875" s="69" t="s">
        <v>322</v>
      </c>
    </row>
    <row r="876" spans="1:10">
      <c r="A876" s="58">
        <v>875</v>
      </c>
      <c r="B876" s="57">
        <v>18875</v>
      </c>
      <c r="C876" s="57" t="s">
        <v>1563</v>
      </c>
      <c r="D876" s="57" t="s">
        <v>899</v>
      </c>
      <c r="E876" s="57" t="s">
        <v>32</v>
      </c>
      <c r="F876" s="60" t="s">
        <v>294</v>
      </c>
      <c r="G876" s="68">
        <v>45304</v>
      </c>
      <c r="H876" s="57">
        <v>4400</v>
      </c>
      <c r="I876" s="61">
        <v>4000</v>
      </c>
      <c r="J876" s="69" t="s">
        <v>337</v>
      </c>
    </row>
    <row r="877" spans="1:10">
      <c r="A877" s="58">
        <v>876</v>
      </c>
      <c r="B877" s="57">
        <v>18876</v>
      </c>
      <c r="C877" s="57" t="s">
        <v>1564</v>
      </c>
      <c r="D877" s="57" t="s">
        <v>398</v>
      </c>
      <c r="E877" s="57" t="s">
        <v>32</v>
      </c>
      <c r="F877" s="60" t="s">
        <v>294</v>
      </c>
      <c r="G877" s="68">
        <v>45304</v>
      </c>
      <c r="H877" s="57">
        <v>4400</v>
      </c>
      <c r="I877" s="61">
        <v>4400</v>
      </c>
      <c r="J877" s="69" t="s">
        <v>300</v>
      </c>
    </row>
    <row r="878" spans="1:10">
      <c r="A878" s="58">
        <v>877</v>
      </c>
      <c r="B878" s="57">
        <v>18877</v>
      </c>
      <c r="C878" s="57" t="s">
        <v>1565</v>
      </c>
      <c r="D878" s="58" t="s">
        <v>1566</v>
      </c>
      <c r="E878" s="57" t="s">
        <v>32</v>
      </c>
      <c r="F878" s="60" t="s">
        <v>294</v>
      </c>
      <c r="G878" s="68">
        <v>45304</v>
      </c>
      <c r="H878" s="57">
        <v>4400</v>
      </c>
      <c r="I878" s="61">
        <v>4000</v>
      </c>
      <c r="J878" s="69" t="s">
        <v>322</v>
      </c>
    </row>
    <row r="879" spans="1:10">
      <c r="A879" s="58">
        <v>878</v>
      </c>
      <c r="B879" s="57">
        <v>18878</v>
      </c>
      <c r="C879" s="57" t="s">
        <v>872</v>
      </c>
      <c r="D879" s="57" t="s">
        <v>1567</v>
      </c>
      <c r="E879" s="57" t="s">
        <v>54</v>
      </c>
      <c r="F879" s="60" t="s">
        <v>73</v>
      </c>
      <c r="G879" s="68">
        <v>45330</v>
      </c>
      <c r="H879" s="57">
        <v>5500</v>
      </c>
      <c r="I879" s="61">
        <v>5100</v>
      </c>
      <c r="J879" s="69" t="s">
        <v>322</v>
      </c>
    </row>
    <row r="880" spans="1:10">
      <c r="A880" s="58">
        <v>879</v>
      </c>
      <c r="B880" s="57">
        <v>18879</v>
      </c>
      <c r="C880" s="57" t="s">
        <v>1194</v>
      </c>
      <c r="D880" s="57" t="s">
        <v>89</v>
      </c>
      <c r="E880" s="57" t="s">
        <v>54</v>
      </c>
      <c r="F880" s="60" t="s">
        <v>73</v>
      </c>
      <c r="G880" s="68">
        <v>45331</v>
      </c>
      <c r="H880" s="57">
        <v>5500</v>
      </c>
      <c r="I880" s="61">
        <v>4900</v>
      </c>
      <c r="J880" s="69" t="s">
        <v>297</v>
      </c>
    </row>
    <row r="881" spans="1:10">
      <c r="A881" s="58">
        <v>880</v>
      </c>
      <c r="B881" s="57">
        <v>18880</v>
      </c>
      <c r="C881" s="57" t="s">
        <v>1196</v>
      </c>
      <c r="D881" s="57" t="s">
        <v>1568</v>
      </c>
      <c r="E881" s="57" t="s">
        <v>32</v>
      </c>
      <c r="F881" s="60" t="s">
        <v>73</v>
      </c>
      <c r="G881" s="68">
        <v>45331</v>
      </c>
      <c r="H881" s="57">
        <v>5500</v>
      </c>
      <c r="I881" s="61">
        <v>2500</v>
      </c>
      <c r="J881" s="69" t="s">
        <v>310</v>
      </c>
    </row>
    <row r="882" spans="1:10">
      <c r="A882" s="58">
        <v>881</v>
      </c>
      <c r="B882" s="57">
        <v>18881</v>
      </c>
      <c r="C882" s="57" t="s">
        <v>1191</v>
      </c>
      <c r="D882" s="57" t="s">
        <v>1569</v>
      </c>
      <c r="E882" s="57" t="s">
        <v>54</v>
      </c>
      <c r="F882" s="60" t="s">
        <v>73</v>
      </c>
      <c r="G882" s="68">
        <v>45331</v>
      </c>
      <c r="H882" s="57">
        <v>5500</v>
      </c>
      <c r="I882" s="61">
        <v>4900</v>
      </c>
      <c r="J882" s="69" t="s">
        <v>310</v>
      </c>
    </row>
    <row r="883" spans="1:10">
      <c r="A883" s="58">
        <v>882</v>
      </c>
      <c r="B883" s="57">
        <v>18882</v>
      </c>
      <c r="C883" s="57" t="s">
        <v>1570</v>
      </c>
      <c r="D883" s="57" t="s">
        <v>1571</v>
      </c>
      <c r="E883" s="57" t="s">
        <v>32</v>
      </c>
      <c r="F883" s="60" t="s">
        <v>330</v>
      </c>
      <c r="G883" s="68">
        <v>45383</v>
      </c>
      <c r="H883" s="57">
        <v>3200</v>
      </c>
      <c r="I883" s="61">
        <v>3200</v>
      </c>
      <c r="J883" s="69" t="s">
        <v>325</v>
      </c>
    </row>
    <row r="884" spans="1:10">
      <c r="A884" s="58">
        <v>883</v>
      </c>
      <c r="B884" s="57">
        <v>18883</v>
      </c>
      <c r="C884" s="57" t="s">
        <v>1572</v>
      </c>
      <c r="D884" s="57" t="s">
        <v>707</v>
      </c>
      <c r="E884" s="57" t="s">
        <v>32</v>
      </c>
      <c r="F884" s="60" t="s">
        <v>330</v>
      </c>
      <c r="G884" s="68">
        <v>45383</v>
      </c>
      <c r="H884" s="57">
        <v>3200</v>
      </c>
      <c r="I884" s="61">
        <v>2600</v>
      </c>
      <c r="J884" s="69" t="s">
        <v>295</v>
      </c>
    </row>
    <row r="885" spans="1:10">
      <c r="A885" s="58">
        <v>884</v>
      </c>
      <c r="B885" s="57">
        <v>18884</v>
      </c>
      <c r="C885" s="57" t="s">
        <v>1573</v>
      </c>
      <c r="D885" s="57" t="s">
        <v>1574</v>
      </c>
      <c r="E885" s="57" t="s">
        <v>32</v>
      </c>
      <c r="F885" s="60" t="s">
        <v>330</v>
      </c>
      <c r="G885" s="68">
        <v>45384</v>
      </c>
      <c r="H885" s="57">
        <v>3200</v>
      </c>
      <c r="I885" s="61">
        <v>2600</v>
      </c>
      <c r="J885" s="69" t="s">
        <v>297</v>
      </c>
    </row>
    <row r="886" spans="1:10">
      <c r="A886" s="58">
        <v>885</v>
      </c>
      <c r="B886" s="57">
        <v>18885</v>
      </c>
      <c r="C886" s="57" t="s">
        <v>1575</v>
      </c>
      <c r="D886" s="57" t="s">
        <v>682</v>
      </c>
      <c r="E886" s="57" t="s">
        <v>54</v>
      </c>
      <c r="F886" s="60" t="s">
        <v>330</v>
      </c>
      <c r="G886" s="68">
        <v>45384</v>
      </c>
      <c r="H886" s="57">
        <v>3200</v>
      </c>
      <c r="I886" s="61">
        <v>3200</v>
      </c>
      <c r="J886" s="69" t="s">
        <v>310</v>
      </c>
    </row>
    <row r="887" spans="1:10">
      <c r="A887" s="58">
        <v>886</v>
      </c>
      <c r="B887" s="57">
        <v>18886</v>
      </c>
      <c r="C887" s="57" t="s">
        <v>1576</v>
      </c>
      <c r="D887" s="57" t="s">
        <v>1577</v>
      </c>
      <c r="E887" s="57" t="s">
        <v>54</v>
      </c>
      <c r="F887" s="60" t="s">
        <v>330</v>
      </c>
      <c r="G887" s="68">
        <v>45384</v>
      </c>
      <c r="H887" s="57">
        <v>3200</v>
      </c>
      <c r="I887" s="61">
        <v>3200</v>
      </c>
      <c r="J887" s="69" t="s">
        <v>322</v>
      </c>
    </row>
    <row r="888" spans="1:10">
      <c r="A888" s="58">
        <v>887</v>
      </c>
      <c r="B888" s="57">
        <v>18887</v>
      </c>
      <c r="C888" s="57" t="s">
        <v>751</v>
      </c>
      <c r="D888" s="57" t="s">
        <v>537</v>
      </c>
      <c r="E888" s="57" t="s">
        <v>32</v>
      </c>
      <c r="F888" s="60" t="s">
        <v>330</v>
      </c>
      <c r="G888" s="68">
        <v>45385</v>
      </c>
      <c r="H888" s="57">
        <v>3200</v>
      </c>
      <c r="I888" s="61">
        <v>2800</v>
      </c>
      <c r="J888" s="69" t="s">
        <v>337</v>
      </c>
    </row>
    <row r="889" spans="1:10">
      <c r="A889" s="58">
        <v>888</v>
      </c>
      <c r="B889" s="57">
        <v>18888</v>
      </c>
      <c r="C889" s="57" t="s">
        <v>1578</v>
      </c>
      <c r="D889" s="57" t="s">
        <v>846</v>
      </c>
      <c r="E889" s="57" t="s">
        <v>54</v>
      </c>
      <c r="F889" s="60" t="s">
        <v>330</v>
      </c>
      <c r="G889" s="68">
        <v>45385</v>
      </c>
      <c r="H889" s="57">
        <v>3200</v>
      </c>
      <c r="I889" s="61">
        <v>3200</v>
      </c>
      <c r="J889" s="69" t="s">
        <v>297</v>
      </c>
    </row>
    <row r="890" spans="1:10">
      <c r="A890" s="58">
        <v>889</v>
      </c>
      <c r="B890" s="57">
        <v>18889</v>
      </c>
      <c r="C890" s="57" t="s">
        <v>1579</v>
      </c>
      <c r="D890" s="57" t="s">
        <v>630</v>
      </c>
      <c r="E890" s="57" t="s">
        <v>32</v>
      </c>
      <c r="F890" s="60" t="s">
        <v>330</v>
      </c>
      <c r="G890" s="68">
        <v>45385</v>
      </c>
      <c r="H890" s="57">
        <v>3200</v>
      </c>
      <c r="I890" s="61">
        <v>2800</v>
      </c>
      <c r="J890" s="69" t="s">
        <v>310</v>
      </c>
    </row>
    <row r="891" spans="1:10">
      <c r="A891" s="58">
        <v>890</v>
      </c>
      <c r="B891" s="57">
        <v>18890</v>
      </c>
      <c r="C891" s="57" t="s">
        <v>1580</v>
      </c>
      <c r="D891" s="57" t="s">
        <v>1581</v>
      </c>
      <c r="E891" s="57" t="s">
        <v>32</v>
      </c>
      <c r="F891" s="60" t="s">
        <v>330</v>
      </c>
      <c r="G891" s="68">
        <v>45388</v>
      </c>
      <c r="H891" s="57">
        <v>3200</v>
      </c>
      <c r="I891" s="61">
        <v>2600</v>
      </c>
      <c r="J891" s="69" t="s">
        <v>322</v>
      </c>
    </row>
    <row r="892" spans="1:10">
      <c r="A892" s="58">
        <v>891</v>
      </c>
      <c r="B892" s="57">
        <v>18891</v>
      </c>
      <c r="C892" s="57" t="s">
        <v>1582</v>
      </c>
      <c r="D892" s="57" t="s">
        <v>926</v>
      </c>
      <c r="E892" s="57" t="s">
        <v>32</v>
      </c>
      <c r="F892" s="60" t="s">
        <v>330</v>
      </c>
      <c r="G892" s="68">
        <v>45388</v>
      </c>
      <c r="H892" s="57">
        <v>3200</v>
      </c>
      <c r="I892" s="61">
        <v>3200</v>
      </c>
      <c r="J892" s="69" t="s">
        <v>337</v>
      </c>
    </row>
    <row r="893" spans="1:10">
      <c r="A893" s="58">
        <v>892</v>
      </c>
      <c r="B893" s="57">
        <v>18892</v>
      </c>
      <c r="C893" s="57" t="s">
        <v>1583</v>
      </c>
      <c r="D893" s="57" t="s">
        <v>1584</v>
      </c>
      <c r="E893" s="57" t="s">
        <v>32</v>
      </c>
      <c r="F893" s="60" t="s">
        <v>330</v>
      </c>
      <c r="G893" s="68">
        <v>45388</v>
      </c>
      <c r="H893" s="57">
        <v>3200</v>
      </c>
      <c r="I893" s="61">
        <v>2600</v>
      </c>
      <c r="J893" s="69" t="s">
        <v>300</v>
      </c>
    </row>
    <row r="894" spans="1:10">
      <c r="A894" s="58">
        <v>893</v>
      </c>
      <c r="B894" s="57">
        <v>18893</v>
      </c>
      <c r="C894" s="57" t="s">
        <v>660</v>
      </c>
      <c r="D894" s="57" t="s">
        <v>396</v>
      </c>
      <c r="E894" s="57" t="s">
        <v>54</v>
      </c>
      <c r="F894" s="60" t="s">
        <v>330</v>
      </c>
      <c r="G894" s="68">
        <v>45390</v>
      </c>
      <c r="H894" s="57">
        <v>3200</v>
      </c>
      <c r="I894" s="61">
        <v>3200</v>
      </c>
      <c r="J894" s="69" t="s">
        <v>322</v>
      </c>
    </row>
    <row r="895" spans="1:10">
      <c r="A895" s="58">
        <v>894</v>
      </c>
      <c r="B895" s="57">
        <v>18894</v>
      </c>
      <c r="C895" s="57" t="s">
        <v>1585</v>
      </c>
      <c r="D895" s="57" t="s">
        <v>1586</v>
      </c>
      <c r="E895" s="57" t="s">
        <v>54</v>
      </c>
      <c r="F895" s="60" t="s">
        <v>330</v>
      </c>
      <c r="G895" s="68">
        <v>45390</v>
      </c>
      <c r="H895" s="57">
        <v>3200</v>
      </c>
      <c r="I895" s="61">
        <v>400</v>
      </c>
      <c r="J895" s="69" t="s">
        <v>322</v>
      </c>
    </row>
    <row r="896" spans="1:10">
      <c r="A896" s="58">
        <v>895</v>
      </c>
      <c r="B896" s="57">
        <v>18895</v>
      </c>
      <c r="C896" s="57" t="s">
        <v>1587</v>
      </c>
      <c r="D896" s="57" t="s">
        <v>1588</v>
      </c>
      <c r="E896" s="57" t="s">
        <v>54</v>
      </c>
      <c r="F896" s="60" t="s">
        <v>330</v>
      </c>
      <c r="G896" s="68">
        <v>45390</v>
      </c>
      <c r="H896" s="57">
        <v>3200</v>
      </c>
      <c r="I896" s="61">
        <v>2600</v>
      </c>
      <c r="J896" s="69" t="s">
        <v>297</v>
      </c>
    </row>
    <row r="897" spans="1:10">
      <c r="A897" s="58">
        <v>896</v>
      </c>
      <c r="B897" s="57">
        <v>18896</v>
      </c>
      <c r="C897" s="57" t="s">
        <v>1589</v>
      </c>
      <c r="D897" s="57" t="s">
        <v>1590</v>
      </c>
      <c r="E897" s="57" t="s">
        <v>32</v>
      </c>
      <c r="F897" s="60" t="s">
        <v>330</v>
      </c>
      <c r="G897" s="68">
        <v>45392</v>
      </c>
      <c r="H897" s="57">
        <v>3200</v>
      </c>
      <c r="I897" s="61">
        <v>2600</v>
      </c>
      <c r="J897" s="69" t="s">
        <v>310</v>
      </c>
    </row>
    <row r="898" spans="1:10">
      <c r="A898" s="58">
        <v>897</v>
      </c>
      <c r="B898" s="57">
        <v>18897</v>
      </c>
      <c r="C898" s="57" t="s">
        <v>1591</v>
      </c>
      <c r="D898" s="57" t="s">
        <v>503</v>
      </c>
      <c r="E898" s="57" t="s">
        <v>54</v>
      </c>
      <c r="F898" s="60" t="s">
        <v>431</v>
      </c>
      <c r="G898" s="68">
        <v>45392</v>
      </c>
      <c r="H898" s="57">
        <v>1800</v>
      </c>
      <c r="I898" s="61">
        <v>1400</v>
      </c>
      <c r="J898" s="69" t="s">
        <v>310</v>
      </c>
    </row>
    <row r="899" spans="1:10">
      <c r="A899" s="58">
        <v>898</v>
      </c>
      <c r="B899" s="57">
        <v>18898</v>
      </c>
      <c r="C899" s="57" t="s">
        <v>1592</v>
      </c>
      <c r="D899" s="57" t="s">
        <v>365</v>
      </c>
      <c r="E899" s="57" t="s">
        <v>32</v>
      </c>
      <c r="F899" s="60" t="s">
        <v>431</v>
      </c>
      <c r="G899" s="68">
        <v>45392</v>
      </c>
      <c r="H899" s="57">
        <v>1800</v>
      </c>
      <c r="I899" s="61">
        <v>1800</v>
      </c>
      <c r="J899" s="69" t="s">
        <v>325</v>
      </c>
    </row>
    <row r="900" spans="1:10">
      <c r="A900" s="58">
        <v>899</v>
      </c>
      <c r="B900" s="57">
        <v>18899</v>
      </c>
      <c r="C900" s="57" t="s">
        <v>1045</v>
      </c>
      <c r="D900" s="57" t="s">
        <v>701</v>
      </c>
      <c r="E900" s="57" t="s">
        <v>54</v>
      </c>
      <c r="F900" s="60" t="s">
        <v>390</v>
      </c>
      <c r="G900" s="68">
        <v>45440</v>
      </c>
      <c r="H900" s="57">
        <v>7500</v>
      </c>
      <c r="I900" s="61">
        <v>6900</v>
      </c>
      <c r="J900" s="69" t="s">
        <v>295</v>
      </c>
    </row>
    <row r="901" spans="1:10">
      <c r="A901" s="58">
        <v>900</v>
      </c>
      <c r="B901" s="57">
        <v>18900</v>
      </c>
      <c r="C901" s="57" t="s">
        <v>1593</v>
      </c>
      <c r="D901" s="57" t="s">
        <v>1594</v>
      </c>
      <c r="E901" s="57" t="s">
        <v>54</v>
      </c>
      <c r="F901" s="60" t="s">
        <v>390</v>
      </c>
      <c r="G901" s="68">
        <v>45441</v>
      </c>
      <c r="H901" s="57">
        <v>7500</v>
      </c>
      <c r="I901" s="61">
        <v>7500</v>
      </c>
      <c r="J901" s="69" t="s">
        <v>297</v>
      </c>
    </row>
    <row r="902" spans="1:10">
      <c r="A902" s="58">
        <v>901</v>
      </c>
      <c r="B902" s="57">
        <v>18901</v>
      </c>
      <c r="C902" s="62" t="s">
        <v>1595</v>
      </c>
      <c r="D902" s="57" t="s">
        <v>1374</v>
      </c>
      <c r="E902" s="57" t="s">
        <v>54</v>
      </c>
      <c r="F902" s="60" t="s">
        <v>330</v>
      </c>
      <c r="G902" s="68">
        <v>45545</v>
      </c>
      <c r="H902" s="57">
        <v>3200</v>
      </c>
      <c r="I902" s="61">
        <v>2600</v>
      </c>
      <c r="J902" s="69" t="s">
        <v>310</v>
      </c>
    </row>
    <row r="903" spans="1:10">
      <c r="A903" s="58">
        <v>902</v>
      </c>
      <c r="B903" s="57">
        <v>18902</v>
      </c>
      <c r="C903" s="62" t="s">
        <v>1596</v>
      </c>
      <c r="D903" s="57" t="s">
        <v>1597</v>
      </c>
      <c r="E903" s="57" t="s">
        <v>54</v>
      </c>
      <c r="F903" s="60" t="s">
        <v>294</v>
      </c>
      <c r="G903" s="68">
        <v>45545</v>
      </c>
      <c r="H903" s="57">
        <v>4400</v>
      </c>
      <c r="I903" s="61">
        <v>4400</v>
      </c>
      <c r="J903" s="69" t="s">
        <v>322</v>
      </c>
    </row>
    <row r="904" spans="1:10">
      <c r="A904" s="58">
        <v>903</v>
      </c>
      <c r="B904" s="57">
        <v>18903</v>
      </c>
      <c r="C904" s="62" t="s">
        <v>1598</v>
      </c>
      <c r="D904" s="57" t="s">
        <v>1599</v>
      </c>
      <c r="E904" s="57" t="s">
        <v>32</v>
      </c>
      <c r="F904" s="60" t="s">
        <v>330</v>
      </c>
      <c r="G904" s="68">
        <v>45546</v>
      </c>
      <c r="H904" s="57">
        <v>3200</v>
      </c>
      <c r="I904" s="61">
        <v>3200</v>
      </c>
      <c r="J904" s="69" t="s">
        <v>337</v>
      </c>
    </row>
    <row r="905" spans="1:10">
      <c r="A905" s="58">
        <v>904</v>
      </c>
      <c r="B905" s="57">
        <v>18904</v>
      </c>
      <c r="C905" s="62" t="s">
        <v>1600</v>
      </c>
      <c r="D905" s="57" t="s">
        <v>1601</v>
      </c>
      <c r="E905" s="57" t="s">
        <v>32</v>
      </c>
      <c r="F905" s="60" t="s">
        <v>330</v>
      </c>
      <c r="G905" s="68">
        <v>45546</v>
      </c>
      <c r="H905" s="57">
        <v>3200</v>
      </c>
      <c r="I905" s="61">
        <v>2600</v>
      </c>
      <c r="J905" s="69" t="s">
        <v>35</v>
      </c>
    </row>
    <row r="906" spans="1:10">
      <c r="A906" s="58">
        <v>905</v>
      </c>
      <c r="B906" s="57">
        <v>18905</v>
      </c>
      <c r="C906" s="57" t="s">
        <v>1191</v>
      </c>
      <c r="D906" s="57" t="s">
        <v>846</v>
      </c>
      <c r="E906" s="57" t="s">
        <v>54</v>
      </c>
      <c r="F906" s="60" t="s">
        <v>294</v>
      </c>
      <c r="G906" s="68">
        <v>45548</v>
      </c>
      <c r="H906" s="57">
        <v>4400</v>
      </c>
      <c r="I906" s="61">
        <v>4400</v>
      </c>
      <c r="J906" s="69" t="s">
        <v>88</v>
      </c>
    </row>
    <row r="907" spans="1:10">
      <c r="A907" s="58">
        <v>906</v>
      </c>
      <c r="B907" s="57">
        <v>18906</v>
      </c>
      <c r="C907" s="57" t="s">
        <v>1196</v>
      </c>
      <c r="D907" s="57" t="s">
        <v>1602</v>
      </c>
      <c r="E907" s="57" t="s">
        <v>32</v>
      </c>
      <c r="F907" s="60" t="s">
        <v>294</v>
      </c>
      <c r="G907" s="68">
        <v>45556</v>
      </c>
      <c r="H907" s="57">
        <v>4400</v>
      </c>
      <c r="I907" s="61">
        <v>3800</v>
      </c>
      <c r="J907" s="69" t="s">
        <v>295</v>
      </c>
    </row>
    <row r="908" spans="1:10">
      <c r="A908" s="58">
        <v>907</v>
      </c>
      <c r="B908" s="57">
        <v>18907</v>
      </c>
      <c r="C908" s="57" t="s">
        <v>1194</v>
      </c>
      <c r="D908" s="57" t="s">
        <v>370</v>
      </c>
      <c r="E908" s="57" t="s">
        <v>32</v>
      </c>
      <c r="F908" s="60" t="s">
        <v>294</v>
      </c>
      <c r="G908" s="68">
        <v>45565</v>
      </c>
      <c r="H908" s="57">
        <v>4400</v>
      </c>
      <c r="I908" s="61">
        <v>3800</v>
      </c>
      <c r="J908" s="69" t="s">
        <v>297</v>
      </c>
    </row>
    <row r="909" spans="1:10">
      <c r="A909" s="58">
        <v>908</v>
      </c>
      <c r="B909" s="57">
        <v>18908</v>
      </c>
      <c r="C909" s="57" t="s">
        <v>872</v>
      </c>
      <c r="D909" s="57" t="s">
        <v>1603</v>
      </c>
      <c r="E909" s="57" t="s">
        <v>54</v>
      </c>
      <c r="F909" s="60" t="s">
        <v>294</v>
      </c>
      <c r="G909" s="68">
        <v>45570</v>
      </c>
      <c r="H909" s="57">
        <v>4400</v>
      </c>
      <c r="I909" s="61">
        <v>500</v>
      </c>
      <c r="J909" s="69" t="s">
        <v>39</v>
      </c>
    </row>
    <row r="910" spans="1:10">
      <c r="A910" s="58">
        <v>909</v>
      </c>
      <c r="B910" s="57">
        <v>18909</v>
      </c>
      <c r="C910" s="57" t="s">
        <v>1604</v>
      </c>
      <c r="D910" s="57" t="s">
        <v>1605</v>
      </c>
      <c r="E910" s="57" t="s">
        <v>32</v>
      </c>
      <c r="F910" s="60" t="s">
        <v>330</v>
      </c>
      <c r="G910" s="68">
        <v>45574</v>
      </c>
      <c r="H910" s="57">
        <v>3200</v>
      </c>
      <c r="I910" s="61">
        <v>3200</v>
      </c>
      <c r="J910" s="69" t="s">
        <v>299</v>
      </c>
    </row>
    <row r="911" spans="1:10">
      <c r="A911" s="58">
        <v>910</v>
      </c>
      <c r="B911" s="57">
        <v>18910</v>
      </c>
      <c r="C911" s="57" t="s">
        <v>1196</v>
      </c>
      <c r="D911" s="57" t="s">
        <v>1606</v>
      </c>
      <c r="E911" s="57" t="s">
        <v>54</v>
      </c>
      <c r="F911" s="58" t="s">
        <v>1140</v>
      </c>
      <c r="G911" s="68">
        <v>45619</v>
      </c>
      <c r="H911" s="57">
        <v>2200</v>
      </c>
      <c r="I911" s="61">
        <v>900</v>
      </c>
      <c r="J911" s="69" t="s">
        <v>300</v>
      </c>
    </row>
    <row r="912" spans="1:10">
      <c r="A912" s="58">
        <v>911</v>
      </c>
      <c r="B912" s="57">
        <v>18911</v>
      </c>
      <c r="C912" s="57" t="s">
        <v>1191</v>
      </c>
      <c r="D912" s="57" t="s">
        <v>518</v>
      </c>
      <c r="E912" s="57" t="s">
        <v>54</v>
      </c>
      <c r="F912" s="58" t="s">
        <v>1140</v>
      </c>
      <c r="G912" s="68">
        <v>45619</v>
      </c>
      <c r="H912" s="57">
        <v>2200</v>
      </c>
      <c r="I912" s="61">
        <v>1600</v>
      </c>
      <c r="J912" s="69" t="s">
        <v>302</v>
      </c>
    </row>
    <row r="913" spans="1:10">
      <c r="A913" s="58">
        <v>912</v>
      </c>
      <c r="B913" s="57">
        <v>18912</v>
      </c>
      <c r="C913" s="57" t="s">
        <v>1194</v>
      </c>
      <c r="D913" s="57" t="s">
        <v>701</v>
      </c>
      <c r="E913" s="57" t="s">
        <v>54</v>
      </c>
      <c r="F913" s="58" t="s">
        <v>1140</v>
      </c>
      <c r="G913" s="68">
        <v>45621</v>
      </c>
      <c r="H913" s="57">
        <v>2200</v>
      </c>
      <c r="I913" s="61">
        <v>2200</v>
      </c>
      <c r="J913" s="69" t="s">
        <v>304</v>
      </c>
    </row>
    <row r="914" spans="1:10">
      <c r="A914" s="58">
        <v>913</v>
      </c>
      <c r="B914" s="57">
        <v>18913</v>
      </c>
      <c r="C914" s="57" t="s">
        <v>872</v>
      </c>
      <c r="D914" s="57" t="s">
        <v>1607</v>
      </c>
      <c r="E914" s="57" t="s">
        <v>32</v>
      </c>
      <c r="F914" s="58" t="s">
        <v>1140</v>
      </c>
      <c r="G914" s="68">
        <v>45621</v>
      </c>
      <c r="H914" s="57">
        <v>2200</v>
      </c>
      <c r="I914" s="61">
        <v>2200</v>
      </c>
      <c r="J914" s="69" t="s">
        <v>306</v>
      </c>
    </row>
    <row r="915" spans="1:10">
      <c r="A915" s="58">
        <v>914</v>
      </c>
      <c r="B915" s="57">
        <v>18914</v>
      </c>
      <c r="C915" s="57" t="s">
        <v>89</v>
      </c>
      <c r="D915" s="57" t="s">
        <v>1608</v>
      </c>
      <c r="E915" s="57" t="s">
        <v>32</v>
      </c>
      <c r="F915" s="60" t="s">
        <v>73</v>
      </c>
      <c r="G915" s="68">
        <v>45322</v>
      </c>
      <c r="H915" s="57">
        <v>5500</v>
      </c>
      <c r="I915" s="61">
        <v>4900</v>
      </c>
      <c r="J915" s="69" t="s">
        <v>39</v>
      </c>
    </row>
    <row r="916" spans="1:10">
      <c r="A916" s="58">
        <v>915</v>
      </c>
      <c r="B916" s="57">
        <v>18915</v>
      </c>
      <c r="C916" s="57" t="s">
        <v>1202</v>
      </c>
      <c r="D916" s="57" t="s">
        <v>1609</v>
      </c>
      <c r="E916" s="57" t="s">
        <v>32</v>
      </c>
      <c r="F916" s="60" t="s">
        <v>73</v>
      </c>
      <c r="G916" s="68">
        <v>45322</v>
      </c>
      <c r="H916" s="57">
        <v>5500</v>
      </c>
      <c r="I916" s="61">
        <v>4900</v>
      </c>
      <c r="J916" s="69" t="s">
        <v>299</v>
      </c>
    </row>
    <row r="917" spans="1:10">
      <c r="A917" s="58">
        <v>916</v>
      </c>
      <c r="B917" s="57">
        <v>18916</v>
      </c>
      <c r="C917" s="57" t="s">
        <v>1199</v>
      </c>
      <c r="D917" s="57" t="s">
        <v>1045</v>
      </c>
      <c r="E917" s="57" t="s">
        <v>54</v>
      </c>
      <c r="F917" s="60" t="s">
        <v>73</v>
      </c>
      <c r="G917" s="68">
        <v>45322</v>
      </c>
      <c r="H917" s="57">
        <v>5500</v>
      </c>
      <c r="I917" s="61">
        <v>4900</v>
      </c>
      <c r="J917" s="69" t="s">
        <v>35</v>
      </c>
    </row>
    <row r="918" spans="1:10">
      <c r="A918" s="58">
        <v>917</v>
      </c>
      <c r="B918" s="57">
        <v>18917</v>
      </c>
      <c r="C918" s="57" t="s">
        <v>378</v>
      </c>
      <c r="D918" s="57" t="s">
        <v>351</v>
      </c>
      <c r="E918" s="57" t="s">
        <v>32</v>
      </c>
      <c r="F918" s="60" t="s">
        <v>73</v>
      </c>
      <c r="G918" s="68">
        <v>45322</v>
      </c>
      <c r="H918" s="57">
        <v>5500</v>
      </c>
      <c r="I918" s="61">
        <v>5500</v>
      </c>
      <c r="J918" s="69" t="s">
        <v>310</v>
      </c>
    </row>
    <row r="919" spans="1:10">
      <c r="A919" s="58">
        <v>918</v>
      </c>
      <c r="B919" s="57">
        <v>18918</v>
      </c>
      <c r="C919" s="57" t="s">
        <v>1203</v>
      </c>
      <c r="D919" s="57" t="s">
        <v>365</v>
      </c>
      <c r="E919" s="57" t="s">
        <v>32</v>
      </c>
      <c r="F919" s="60" t="s">
        <v>73</v>
      </c>
      <c r="G919" s="68">
        <v>45322</v>
      </c>
      <c r="H919" s="57">
        <v>5500</v>
      </c>
      <c r="I919" s="61">
        <v>5500</v>
      </c>
      <c r="J919" s="69" t="s">
        <v>70</v>
      </c>
    </row>
    <row r="920" spans="1:10">
      <c r="A920" s="58">
        <v>919</v>
      </c>
      <c r="B920" s="57">
        <v>18919</v>
      </c>
      <c r="C920" s="57" t="s">
        <v>422</v>
      </c>
      <c r="D920" s="57" t="s">
        <v>1610</v>
      </c>
      <c r="E920" s="57" t="s">
        <v>32</v>
      </c>
      <c r="F920" s="60" t="s">
        <v>73</v>
      </c>
      <c r="G920" s="68">
        <v>45322</v>
      </c>
      <c r="H920" s="57">
        <v>5500</v>
      </c>
      <c r="I920" s="61">
        <v>5500</v>
      </c>
      <c r="J920" s="69" t="s">
        <v>75</v>
      </c>
    </row>
    <row r="921" spans="1:10">
      <c r="A921" s="58">
        <v>920</v>
      </c>
      <c r="B921" s="57">
        <v>18920</v>
      </c>
      <c r="C921" s="57" t="s">
        <v>378</v>
      </c>
      <c r="D921" s="57" t="s">
        <v>60</v>
      </c>
      <c r="E921" s="57" t="s">
        <v>32</v>
      </c>
      <c r="F921" s="60" t="s">
        <v>294</v>
      </c>
      <c r="G921" s="68">
        <v>45555</v>
      </c>
      <c r="H921" s="57">
        <v>4400</v>
      </c>
      <c r="I921" s="61">
        <v>4400</v>
      </c>
      <c r="J921" s="69" t="s">
        <v>70</v>
      </c>
    </row>
    <row r="922" spans="1:10">
      <c r="A922" s="58">
        <v>921</v>
      </c>
      <c r="B922" s="57">
        <v>18921</v>
      </c>
      <c r="C922" s="57" t="s">
        <v>89</v>
      </c>
      <c r="D922" s="57" t="s">
        <v>1317</v>
      </c>
      <c r="E922" s="57" t="s">
        <v>32</v>
      </c>
      <c r="F922" s="60" t="s">
        <v>294</v>
      </c>
      <c r="G922" s="68">
        <v>45558</v>
      </c>
      <c r="H922" s="57">
        <v>4400</v>
      </c>
      <c r="I922" s="61">
        <v>4400</v>
      </c>
      <c r="J922" s="69" t="s">
        <v>75</v>
      </c>
    </row>
    <row r="923" spans="1:10">
      <c r="A923" s="58">
        <v>922</v>
      </c>
      <c r="B923" s="57">
        <v>18922</v>
      </c>
      <c r="C923" s="57" t="s">
        <v>1199</v>
      </c>
      <c r="D923" s="57" t="s">
        <v>1611</v>
      </c>
      <c r="E923" s="57" t="s">
        <v>32</v>
      </c>
      <c r="F923" s="60" t="s">
        <v>294</v>
      </c>
      <c r="G923" s="68">
        <v>45559</v>
      </c>
      <c r="H923" s="57">
        <v>4400</v>
      </c>
      <c r="I923" s="61">
        <v>3800</v>
      </c>
      <c r="J923" s="69" t="s">
        <v>75</v>
      </c>
    </row>
    <row r="924" spans="1:10">
      <c r="A924" s="58">
        <v>923</v>
      </c>
      <c r="B924" s="57">
        <v>18923</v>
      </c>
      <c r="C924" s="57" t="s">
        <v>1203</v>
      </c>
      <c r="D924" s="57" t="s">
        <v>797</v>
      </c>
      <c r="E924" s="57" t="s">
        <v>54</v>
      </c>
      <c r="F924" s="60" t="s">
        <v>294</v>
      </c>
      <c r="G924" s="68">
        <v>45563</v>
      </c>
      <c r="H924" s="57">
        <v>4400</v>
      </c>
      <c r="I924" s="61">
        <v>2500</v>
      </c>
      <c r="J924" s="69" t="s">
        <v>70</v>
      </c>
    </row>
    <row r="925" spans="1:10">
      <c r="A925" s="58">
        <v>924</v>
      </c>
      <c r="B925" s="57">
        <v>18924</v>
      </c>
      <c r="C925" s="57" t="s">
        <v>1202</v>
      </c>
      <c r="D925" s="57" t="s">
        <v>1612</v>
      </c>
      <c r="E925" s="57" t="s">
        <v>54</v>
      </c>
      <c r="F925" s="60" t="s">
        <v>294</v>
      </c>
      <c r="G925" s="68">
        <v>45569</v>
      </c>
      <c r="H925" s="57">
        <v>4400</v>
      </c>
      <c r="I925" s="61">
        <v>4400</v>
      </c>
      <c r="J925" s="69" t="s">
        <v>88</v>
      </c>
    </row>
    <row r="926" spans="1:10">
      <c r="A926" s="58">
        <v>925</v>
      </c>
      <c r="B926" s="57">
        <v>18925</v>
      </c>
      <c r="C926" s="57" t="s">
        <v>422</v>
      </c>
      <c r="D926" s="58" t="s">
        <v>1613</v>
      </c>
      <c r="E926" s="57" t="s">
        <v>32</v>
      </c>
      <c r="F926" s="60" t="s">
        <v>294</v>
      </c>
      <c r="G926" s="68">
        <v>45572</v>
      </c>
      <c r="H926" s="57">
        <v>4400</v>
      </c>
      <c r="I926" s="61">
        <v>4400</v>
      </c>
      <c r="J926" s="69" t="s">
        <v>310</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B42E0-749E-4C7E-8334-589D5E96B860}">
  <dimension ref="A1:B9"/>
  <sheetViews>
    <sheetView workbookViewId="0">
      <selection activeCell="D2" sqref="D2"/>
    </sheetView>
  </sheetViews>
  <sheetFormatPr defaultRowHeight="15"/>
  <cols>
    <col min="1" max="1" width="14.28515625" customWidth="1"/>
  </cols>
  <sheetData>
    <row r="1" spans="1:2">
      <c r="A1" s="58" t="s">
        <v>1614</v>
      </c>
      <c r="B1" s="58" t="s">
        <v>1615</v>
      </c>
    </row>
    <row r="2" spans="1:2">
      <c r="A2" t="s">
        <v>1616</v>
      </c>
      <c r="B2">
        <v>20</v>
      </c>
    </row>
    <row r="3" spans="1:2">
      <c r="A3" t="s">
        <v>1617</v>
      </c>
      <c r="B3" s="57">
        <v>17</v>
      </c>
    </row>
    <row r="4" spans="1:2">
      <c r="A4" t="s">
        <v>1618</v>
      </c>
      <c r="B4" s="57">
        <v>18</v>
      </c>
    </row>
    <row r="5" spans="1:2">
      <c r="A5" t="s">
        <v>1619</v>
      </c>
      <c r="B5" s="57">
        <v>16</v>
      </c>
    </row>
    <row r="6" spans="1:2">
      <c r="A6" t="s">
        <v>1620</v>
      </c>
      <c r="B6" s="57">
        <v>15</v>
      </c>
    </row>
    <row r="7" spans="1:2">
      <c r="A7" t="s">
        <v>1621</v>
      </c>
      <c r="B7" s="57">
        <v>16</v>
      </c>
    </row>
    <row r="8" spans="1:2">
      <c r="A8" t="s">
        <v>1622</v>
      </c>
      <c r="B8" s="57">
        <v>18</v>
      </c>
    </row>
    <row r="9" spans="1:2">
      <c r="B9" s="57"/>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8123C-73FF-4DB8-B5D4-C93964955EC2}">
  <dimension ref="A1:B9"/>
  <sheetViews>
    <sheetView workbookViewId="0">
      <selection activeCell="B1" sqref="B1"/>
    </sheetView>
  </sheetViews>
  <sheetFormatPr defaultRowHeight="15"/>
  <cols>
    <col min="1" max="1" width="12.42578125" bestFit="1" customWidth="1"/>
  </cols>
  <sheetData>
    <row r="1" spans="1:2">
      <c r="A1" s="58" t="s">
        <v>1614</v>
      </c>
      <c r="B1" s="58" t="s">
        <v>1623</v>
      </c>
    </row>
    <row r="2" spans="1:2">
      <c r="A2" s="57" t="s">
        <v>1616</v>
      </c>
      <c r="B2" s="57">
        <v>19</v>
      </c>
    </row>
    <row r="3" spans="1:2">
      <c r="A3" s="57" t="s">
        <v>1617</v>
      </c>
      <c r="B3" s="57">
        <v>25</v>
      </c>
    </row>
    <row r="4" spans="1:2">
      <c r="A4" s="57" t="s">
        <v>1618</v>
      </c>
      <c r="B4" s="57">
        <v>17</v>
      </c>
    </row>
    <row r="5" spans="1:2">
      <c r="A5" s="57" t="s">
        <v>1619</v>
      </c>
      <c r="B5" s="57">
        <v>13</v>
      </c>
    </row>
    <row r="6" spans="1:2">
      <c r="A6" s="57" t="s">
        <v>1620</v>
      </c>
      <c r="B6" s="57">
        <v>15</v>
      </c>
    </row>
    <row r="7" spans="1:2">
      <c r="A7" s="57" t="s">
        <v>1621</v>
      </c>
      <c r="B7" s="57">
        <v>25</v>
      </c>
    </row>
    <row r="8" spans="1:2">
      <c r="A8" s="57" t="s">
        <v>1622</v>
      </c>
      <c r="B8" s="57">
        <v>12</v>
      </c>
    </row>
    <row r="9" spans="1:2">
      <c r="A9" s="57"/>
      <c r="B9" s="57"/>
    </row>
  </sheetData>
  <dataConsolidate>
    <dataRefs count="3">
      <dataRef ref="A1:B8" sheet="Fab"/>
      <dataRef ref="A1:B8" sheet="Jan"/>
      <dataRef ref="A1:B8" sheet="Mar"/>
    </dataRefs>
  </dataConsolidate>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F06BD-80C1-450B-AD13-2CFA4BFBAA01}">
  <dimension ref="A1:M20"/>
  <sheetViews>
    <sheetView workbookViewId="0">
      <selection activeCell="O11" sqref="O11"/>
    </sheetView>
  </sheetViews>
  <sheetFormatPr defaultRowHeight="15"/>
  <cols>
    <col min="1" max="1" width="12.42578125" bestFit="1" customWidth="1"/>
  </cols>
  <sheetData>
    <row r="1" spans="1:13" ht="18.75">
      <c r="A1" s="58" t="s">
        <v>1614</v>
      </c>
      <c r="B1" s="58" t="s">
        <v>1624</v>
      </c>
      <c r="G1" s="95" t="s">
        <v>1625</v>
      </c>
      <c r="H1" s="95"/>
      <c r="I1" s="95"/>
      <c r="J1" s="95"/>
      <c r="K1" s="95"/>
      <c r="L1" s="95"/>
    </row>
    <row r="2" spans="1:13">
      <c r="A2" s="57" t="s">
        <v>1616</v>
      </c>
      <c r="B2" s="57">
        <v>10</v>
      </c>
      <c r="D2" s="57"/>
    </row>
    <row r="3" spans="1:13">
      <c r="A3" s="57" t="s">
        <v>1617</v>
      </c>
      <c r="B3" s="57">
        <v>19</v>
      </c>
      <c r="D3" s="57"/>
      <c r="E3" s="57"/>
      <c r="H3" t="s">
        <v>1614</v>
      </c>
      <c r="K3" t="s">
        <v>1614</v>
      </c>
    </row>
    <row r="4" spans="1:13">
      <c r="A4" s="57" t="s">
        <v>1618</v>
      </c>
      <c r="B4" s="57">
        <v>23</v>
      </c>
      <c r="D4" s="57"/>
      <c r="E4" s="57"/>
      <c r="H4" t="s">
        <v>1616</v>
      </c>
      <c r="I4" s="57">
        <v>49</v>
      </c>
      <c r="K4" t="s">
        <v>1616</v>
      </c>
      <c r="L4" s="57">
        <v>20</v>
      </c>
    </row>
    <row r="5" spans="1:13">
      <c r="A5" s="57" t="s">
        <v>1619</v>
      </c>
      <c r="B5" s="57">
        <v>20</v>
      </c>
      <c r="D5" s="57"/>
      <c r="E5" s="57"/>
      <c r="H5" t="s">
        <v>1617</v>
      </c>
      <c r="I5" s="57">
        <v>61</v>
      </c>
      <c r="K5" t="s">
        <v>1617</v>
      </c>
      <c r="L5" s="57">
        <v>25</v>
      </c>
    </row>
    <row r="6" spans="1:13">
      <c r="A6" s="57" t="s">
        <v>1620</v>
      </c>
      <c r="B6" s="57">
        <v>17</v>
      </c>
      <c r="D6" s="57"/>
      <c r="E6" s="57"/>
      <c r="H6" t="s">
        <v>1618</v>
      </c>
      <c r="I6" s="57">
        <v>58</v>
      </c>
      <c r="K6" t="s">
        <v>1618</v>
      </c>
      <c r="L6" s="57">
        <v>23</v>
      </c>
    </row>
    <row r="7" spans="1:13">
      <c r="A7" s="57" t="s">
        <v>1621</v>
      </c>
      <c r="B7" s="57">
        <v>25</v>
      </c>
      <c r="D7" s="57"/>
      <c r="E7" s="57"/>
      <c r="H7" t="s">
        <v>1619</v>
      </c>
      <c r="I7" s="57">
        <v>49</v>
      </c>
      <c r="K7" t="s">
        <v>1619</v>
      </c>
      <c r="L7" s="57">
        <v>20</v>
      </c>
    </row>
    <row r="8" spans="1:13">
      <c r="A8" s="57" t="s">
        <v>1622</v>
      </c>
      <c r="B8" s="57">
        <v>12</v>
      </c>
      <c r="D8" s="57"/>
      <c r="E8" s="57"/>
      <c r="H8" t="s">
        <v>1620</v>
      </c>
      <c r="I8" s="57">
        <v>47</v>
      </c>
      <c r="K8" t="s">
        <v>1620</v>
      </c>
      <c r="L8" s="57">
        <v>17</v>
      </c>
    </row>
    <row r="9" spans="1:13">
      <c r="E9" s="57"/>
      <c r="H9" t="s">
        <v>1621</v>
      </c>
      <c r="I9" s="57">
        <v>66</v>
      </c>
      <c r="K9" t="s">
        <v>1621</v>
      </c>
      <c r="L9" s="57">
        <v>25</v>
      </c>
    </row>
    <row r="10" spans="1:13">
      <c r="H10" t="s">
        <v>1622</v>
      </c>
      <c r="I10" s="57">
        <v>42</v>
      </c>
      <c r="K10" t="s">
        <v>1622</v>
      </c>
      <c r="L10" s="57">
        <v>18</v>
      </c>
    </row>
    <row r="13" spans="1:13">
      <c r="K13" t="s">
        <v>1623</v>
      </c>
      <c r="L13" t="s">
        <v>1615</v>
      </c>
      <c r="M13" t="s">
        <v>1624</v>
      </c>
    </row>
    <row r="14" spans="1:13">
      <c r="J14" t="s">
        <v>1616</v>
      </c>
      <c r="K14" s="57">
        <v>19</v>
      </c>
      <c r="L14" s="57">
        <v>20</v>
      </c>
      <c r="M14" s="57">
        <v>10</v>
      </c>
    </row>
    <row r="15" spans="1:13">
      <c r="J15" t="s">
        <v>1617</v>
      </c>
      <c r="K15" s="57">
        <v>25</v>
      </c>
      <c r="L15" s="57">
        <v>17</v>
      </c>
      <c r="M15" s="57">
        <v>19</v>
      </c>
    </row>
    <row r="16" spans="1:13">
      <c r="J16" t="s">
        <v>1618</v>
      </c>
      <c r="K16" s="57">
        <v>17</v>
      </c>
      <c r="L16" s="57">
        <v>18</v>
      </c>
      <c r="M16" s="57">
        <v>23</v>
      </c>
    </row>
    <row r="17" spans="10:13">
      <c r="J17" t="s">
        <v>1619</v>
      </c>
      <c r="K17" s="57">
        <v>13</v>
      </c>
      <c r="L17" s="57">
        <v>16</v>
      </c>
      <c r="M17" s="57">
        <v>20</v>
      </c>
    </row>
    <row r="18" spans="10:13">
      <c r="J18" t="s">
        <v>1620</v>
      </c>
      <c r="K18" s="57">
        <v>15</v>
      </c>
      <c r="L18" s="57">
        <v>15</v>
      </c>
      <c r="M18" s="57">
        <v>17</v>
      </c>
    </row>
    <row r="19" spans="10:13">
      <c r="J19" t="s">
        <v>1621</v>
      </c>
      <c r="K19" s="57">
        <v>25</v>
      </c>
      <c r="L19" s="57">
        <v>16</v>
      </c>
      <c r="M19" s="57">
        <v>25</v>
      </c>
    </row>
    <row r="20" spans="10:13">
      <c r="J20" t="s">
        <v>1622</v>
      </c>
      <c r="K20" s="57">
        <v>12</v>
      </c>
      <c r="L20" s="57">
        <v>18</v>
      </c>
      <c r="M20" s="57">
        <v>12</v>
      </c>
    </row>
  </sheetData>
  <dataConsolidate topLabels="1">
    <dataRefs count="3">
      <dataRef ref="A1:B8" sheet="Fab"/>
      <dataRef ref="A1:B8" sheet="Jan"/>
      <dataRef ref="A1:B8" sheet="Mar"/>
    </dataRefs>
  </dataConsolidate>
  <mergeCells count="1">
    <mergeCell ref="G1:L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DA3AC-0351-44C7-9992-A3CB13AC4C27}">
  <dimension ref="F5:L11"/>
  <sheetViews>
    <sheetView topLeftCell="A4" workbookViewId="0">
      <selection activeCell="I15" sqref="I15"/>
    </sheetView>
  </sheetViews>
  <sheetFormatPr defaultRowHeight="15"/>
  <sheetData>
    <row r="5" spans="6:12">
      <c r="F5" s="58" t="s">
        <v>1627</v>
      </c>
      <c r="G5" s="58" t="s">
        <v>1628</v>
      </c>
      <c r="H5" s="58" t="s">
        <v>111</v>
      </c>
      <c r="I5" s="58" t="s">
        <v>14</v>
      </c>
    </row>
    <row r="6" spans="6:12">
      <c r="F6" t="s">
        <v>122</v>
      </c>
      <c r="G6">
        <v>15</v>
      </c>
      <c r="H6">
        <v>100</v>
      </c>
      <c r="I6">
        <f>G6*H6</f>
        <v>1500</v>
      </c>
    </row>
    <row r="7" spans="6:12">
      <c r="F7" t="s">
        <v>121</v>
      </c>
      <c r="G7">
        <v>15</v>
      </c>
      <c r="H7">
        <v>200</v>
      </c>
      <c r="I7" s="57">
        <f t="shared" ref="I7:I10" si="0">G7*H7</f>
        <v>3000</v>
      </c>
    </row>
    <row r="8" spans="6:12">
      <c r="F8" t="s">
        <v>1629</v>
      </c>
      <c r="G8">
        <v>5</v>
      </c>
      <c r="H8">
        <v>350</v>
      </c>
      <c r="I8" s="57">
        <f t="shared" si="0"/>
        <v>1750</v>
      </c>
    </row>
    <row r="9" spans="6:12">
      <c r="F9" t="s">
        <v>1630</v>
      </c>
      <c r="G9">
        <v>6</v>
      </c>
      <c r="H9">
        <v>9000</v>
      </c>
      <c r="I9" s="57">
        <f t="shared" si="0"/>
        <v>54000</v>
      </c>
    </row>
    <row r="10" spans="6:12">
      <c r="F10" t="s">
        <v>1631</v>
      </c>
      <c r="G10">
        <v>3</v>
      </c>
      <c r="H10">
        <v>6500</v>
      </c>
      <c r="I10" s="57">
        <f t="shared" si="0"/>
        <v>19500</v>
      </c>
    </row>
    <row r="11" spans="6:12">
      <c r="H11" t="s">
        <v>14</v>
      </c>
      <c r="I11" s="58">
        <f>SUM(I6:I10)</f>
        <v>79750</v>
      </c>
      <c r="K11" t="s">
        <v>1632</v>
      </c>
      <c r="L11" s="58">
        <v>80000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98F7C-DCFE-4C29-9DE2-A1C06CD956FC}">
  <dimension ref="C3:N9"/>
  <sheetViews>
    <sheetView workbookViewId="0">
      <selection activeCell="O13" sqref="O13"/>
    </sheetView>
  </sheetViews>
  <sheetFormatPr defaultRowHeight="15"/>
  <cols>
    <col min="3" max="3" width="10.5703125" bestFit="1" customWidth="1"/>
    <col min="4" max="4" width="11.5703125" bestFit="1" customWidth="1"/>
    <col min="7" max="7" width="10.85546875" bestFit="1" customWidth="1"/>
    <col min="12" max="14" width="11.85546875" bestFit="1" customWidth="1"/>
  </cols>
  <sheetData>
    <row r="3" spans="3:14">
      <c r="C3" t="s">
        <v>1633</v>
      </c>
      <c r="D3">
        <v>40000</v>
      </c>
      <c r="G3" s="70">
        <f>D6</f>
        <v>-42800</v>
      </c>
      <c r="K3" s="70">
        <f>D6</f>
        <v>-42800</v>
      </c>
      <c r="L3" s="35">
        <v>7.1999999999999995E-2</v>
      </c>
      <c r="M3" s="36">
        <v>0.08</v>
      </c>
      <c r="N3" s="36">
        <v>0.09</v>
      </c>
    </row>
    <row r="4" spans="3:14">
      <c r="C4" t="s">
        <v>1634</v>
      </c>
      <c r="D4" s="36">
        <v>7.0000000000000007E-2</v>
      </c>
      <c r="F4" s="35">
        <v>7.1999999999999995E-2</v>
      </c>
      <c r="G4" s="70">
        <f t="dataTable" ref="G4:G6" dt2D="0" dtr="0" r1="D4"/>
        <v>-42880</v>
      </c>
      <c r="K4">
        <v>50000</v>
      </c>
      <c r="L4" s="71">
        <f t="dataTable" ref="L4:N9" dt2D="1" dtr="1" r1="D4" r2="D3"/>
        <v>-42800</v>
      </c>
      <c r="M4" s="71">
        <v>-42800</v>
      </c>
      <c r="N4" s="71">
        <v>-42800</v>
      </c>
    </row>
    <row r="5" spans="3:14">
      <c r="F5" s="36">
        <v>0.08</v>
      </c>
      <c r="G5" s="70">
        <v>-43200</v>
      </c>
      <c r="K5">
        <v>60000</v>
      </c>
      <c r="L5" s="71">
        <v>-42800</v>
      </c>
      <c r="M5" s="71">
        <v>-42800</v>
      </c>
      <c r="N5" s="71">
        <v>-42800</v>
      </c>
    </row>
    <row r="6" spans="3:14">
      <c r="C6" t="s">
        <v>14</v>
      </c>
      <c r="D6" s="70">
        <f>FV(D4,1,0,D3)</f>
        <v>-42800</v>
      </c>
      <c r="F6" s="36">
        <v>0.09</v>
      </c>
      <c r="G6" s="70">
        <v>-43600</v>
      </c>
      <c r="K6">
        <v>70000</v>
      </c>
      <c r="L6" s="71">
        <v>-42800</v>
      </c>
      <c r="M6" s="71">
        <v>-42800</v>
      </c>
      <c r="N6" s="71">
        <v>-42800</v>
      </c>
    </row>
    <row r="7" spans="3:14">
      <c r="K7">
        <v>80000</v>
      </c>
      <c r="L7" s="71">
        <v>-42800</v>
      </c>
      <c r="M7" s="71">
        <v>-42800</v>
      </c>
      <c r="N7" s="71">
        <v>-42800</v>
      </c>
    </row>
    <row r="8" spans="3:14">
      <c r="K8">
        <v>90000</v>
      </c>
      <c r="L8" s="71">
        <v>-42800</v>
      </c>
      <c r="M8" s="71">
        <v>-42800</v>
      </c>
      <c r="N8" s="71">
        <v>-42800</v>
      </c>
    </row>
    <row r="9" spans="3:14">
      <c r="K9">
        <v>100000</v>
      </c>
      <c r="L9" s="71">
        <v>-42800</v>
      </c>
      <c r="M9" s="71">
        <v>-42800</v>
      </c>
      <c r="N9" s="71">
        <v>-42800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1151-2FFE-45DF-ADCE-8B2F7BAC527D}">
  <dimension ref="A1:E13"/>
  <sheetViews>
    <sheetView topLeftCell="C1" workbookViewId="0">
      <selection activeCell="K17" sqref="K17"/>
    </sheetView>
  </sheetViews>
  <sheetFormatPr defaultRowHeight="15"/>
  <cols>
    <col min="1" max="1" width="9.85546875" customWidth="1"/>
    <col min="2" max="2" width="11.28515625" customWidth="1"/>
    <col min="3" max="3" width="20.42578125" customWidth="1"/>
    <col min="4" max="5" width="35.28515625" customWidth="1"/>
  </cols>
  <sheetData>
    <row r="1" spans="1:5">
      <c r="A1" t="s">
        <v>1635</v>
      </c>
      <c r="B1" t="s">
        <v>1636</v>
      </c>
      <c r="C1" t="s">
        <v>1637</v>
      </c>
      <c r="D1" t="s">
        <v>1638</v>
      </c>
      <c r="E1" t="s">
        <v>1639</v>
      </c>
    </row>
    <row r="2" spans="1:5">
      <c r="A2" s="57">
        <v>1</v>
      </c>
      <c r="B2" s="57">
        <v>35</v>
      </c>
    </row>
    <row r="3" spans="1:5">
      <c r="A3" s="57">
        <v>2</v>
      </c>
      <c r="B3" s="57">
        <v>35</v>
      </c>
    </row>
    <row r="4" spans="1:5">
      <c r="A4" s="57">
        <v>3</v>
      </c>
      <c r="B4" s="57">
        <v>23</v>
      </c>
    </row>
    <row r="5" spans="1:5">
      <c r="A5" s="57">
        <v>4</v>
      </c>
      <c r="B5" s="57">
        <v>38</v>
      </c>
    </row>
    <row r="6" spans="1:5">
      <c r="A6" s="57">
        <v>5</v>
      </c>
      <c r="B6" s="57">
        <v>20</v>
      </c>
    </row>
    <row r="7" spans="1:5">
      <c r="A7" s="57">
        <v>6</v>
      </c>
      <c r="B7" s="57">
        <v>22</v>
      </c>
      <c r="C7" s="57">
        <v>22</v>
      </c>
      <c r="D7" s="37">
        <v>22</v>
      </c>
      <c r="E7" s="37">
        <v>22</v>
      </c>
    </row>
    <row r="8" spans="1:5">
      <c r="A8" s="57">
        <v>7</v>
      </c>
      <c r="C8" s="57">
        <f t="shared" ref="C8:C13" si="0">_xlfn.FORECAST.ETS(A8,$B$2:$B$7,$A$2:$A$7,1,1)</f>
        <v>14.42991473984457</v>
      </c>
      <c r="D8" s="37">
        <f t="shared" ref="D8:D13" si="1">C8-_xlfn.FORECAST.ETS.CONFINT(A8,$B$2:$B$7,$A$2:$A$7,0.95,1,1)</f>
        <v>6.4473089224206701</v>
      </c>
      <c r="E8" s="37">
        <f t="shared" ref="E8:E13" si="2">C8+_xlfn.FORECAST.ETS.CONFINT(A8,$B$2:$B$7,$A$2:$A$7,0.95,1,1)</f>
        <v>22.412520557268468</v>
      </c>
    </row>
    <row r="9" spans="1:5">
      <c r="A9" s="57">
        <v>8</v>
      </c>
      <c r="C9" s="57">
        <f t="shared" si="0"/>
        <v>18.303242347186959</v>
      </c>
      <c r="D9" s="37">
        <f t="shared" si="1"/>
        <v>10.320600608117706</v>
      </c>
      <c r="E9" s="37">
        <f t="shared" si="2"/>
        <v>26.28588408625621</v>
      </c>
    </row>
    <row r="10" spans="1:5">
      <c r="A10" s="57">
        <v>9</v>
      </c>
      <c r="C10" s="57">
        <f t="shared" si="0"/>
        <v>7.8467889014465184</v>
      </c>
      <c r="D10" s="37">
        <f t="shared" si="1"/>
        <v>-0.2019977688358674</v>
      </c>
      <c r="E10" s="37">
        <f t="shared" si="2"/>
        <v>15.895575571728905</v>
      </c>
    </row>
    <row r="11" spans="1:5">
      <c r="A11" s="57">
        <v>10</v>
      </c>
      <c r="C11" s="57">
        <f t="shared" si="0"/>
        <v>11.720116508788909</v>
      </c>
      <c r="D11" s="37">
        <f t="shared" si="1"/>
        <v>3.6712308770007205</v>
      </c>
      <c r="E11" s="37">
        <f t="shared" si="2"/>
        <v>19.769002140577097</v>
      </c>
    </row>
    <row r="12" spans="1:5">
      <c r="A12" s="57">
        <v>11</v>
      </c>
      <c r="C12" s="57">
        <f t="shared" si="0"/>
        <v>1.263663063048468</v>
      </c>
      <c r="D12" s="37">
        <f t="shared" si="1"/>
        <v>-6.8528690215749934</v>
      </c>
      <c r="E12" s="37">
        <f t="shared" si="2"/>
        <v>9.3801951476719303</v>
      </c>
    </row>
    <row r="13" spans="1:5">
      <c r="A13" s="57">
        <v>12</v>
      </c>
      <c r="C13" s="57">
        <f t="shared" si="0"/>
        <v>5.1369906703908557</v>
      </c>
      <c r="D13" s="37">
        <f t="shared" si="1"/>
        <v>-2.9797337587436123</v>
      </c>
      <c r="E13" s="37">
        <f t="shared" si="2"/>
        <v>13.253715099525323</v>
      </c>
    </row>
  </sheetData>
  <pageMargins left="0.7" right="0.7" top="0.75" bottom="0.75" header="0.3" footer="0.3"/>
  <drawing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C9F3E-AA5A-4EF1-BF97-705C832F3594}">
  <dimension ref="A1:E7"/>
  <sheetViews>
    <sheetView workbookViewId="0">
      <selection sqref="A1:B7"/>
    </sheetView>
  </sheetViews>
  <sheetFormatPr defaultRowHeight="15"/>
  <cols>
    <col min="1" max="1" width="9.7109375" bestFit="1" customWidth="1"/>
    <col min="2" max="2" width="11.42578125" bestFit="1" customWidth="1"/>
  </cols>
  <sheetData>
    <row r="1" spans="1:5" ht="18.75">
      <c r="A1" s="72" t="s">
        <v>1635</v>
      </c>
      <c r="B1" s="72" t="s">
        <v>1636</v>
      </c>
    </row>
    <row r="2" spans="1:5">
      <c r="A2">
        <v>1</v>
      </c>
      <c r="B2">
        <v>35</v>
      </c>
    </row>
    <row r="3" spans="1:5">
      <c r="A3" s="57">
        <v>2</v>
      </c>
      <c r="B3" s="57">
        <v>35</v>
      </c>
    </row>
    <row r="4" spans="1:5">
      <c r="A4" s="57">
        <v>3</v>
      </c>
      <c r="B4" s="57">
        <v>23</v>
      </c>
    </row>
    <row r="5" spans="1:5">
      <c r="A5" s="57">
        <v>4</v>
      </c>
      <c r="B5" s="57">
        <v>38</v>
      </c>
    </row>
    <row r="6" spans="1:5">
      <c r="A6" s="57">
        <v>5</v>
      </c>
      <c r="B6" s="57">
        <v>20</v>
      </c>
    </row>
    <row r="7" spans="1:5">
      <c r="A7" s="57">
        <v>6</v>
      </c>
      <c r="B7" s="57">
        <v>22</v>
      </c>
      <c r="E7" t="s">
        <v>246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764BB-F721-476C-9718-121EA2469AD5}">
  <dimension ref="A1:B34"/>
  <sheetViews>
    <sheetView tabSelected="1" workbookViewId="0">
      <selection activeCell="D16" sqref="D16"/>
    </sheetView>
  </sheetViews>
  <sheetFormatPr defaultRowHeight="15" outlineLevelRow="2"/>
  <cols>
    <col min="1" max="1" width="22.5703125" style="57" bestFit="1" customWidth="1"/>
    <col min="2" max="2" width="11.85546875" style="57" bestFit="1" customWidth="1"/>
  </cols>
  <sheetData>
    <row r="1" spans="1:2">
      <c r="A1" s="6" t="s">
        <v>15</v>
      </c>
      <c r="B1" s="6" t="s">
        <v>28</v>
      </c>
    </row>
    <row r="2" spans="1:2" outlineLevel="2">
      <c r="A2" s="57" t="s">
        <v>258</v>
      </c>
      <c r="B2" s="57">
        <v>4736</v>
      </c>
    </row>
    <row r="3" spans="1:2" s="57" customFormat="1" outlineLevel="1">
      <c r="A3" s="4" t="s">
        <v>1641</v>
      </c>
      <c r="B3" s="4">
        <f>SUBTOTAL(9,B2:B2)</f>
        <v>4736</v>
      </c>
    </row>
    <row r="4" spans="1:2" outlineLevel="2">
      <c r="A4" s="57" t="s">
        <v>73</v>
      </c>
      <c r="B4" s="57">
        <v>4744</v>
      </c>
    </row>
    <row r="5" spans="1:2" outlineLevel="2">
      <c r="A5" s="57" t="s">
        <v>73</v>
      </c>
      <c r="B5" s="57">
        <v>3674</v>
      </c>
    </row>
    <row r="6" spans="1:2" outlineLevel="2">
      <c r="A6" s="57" t="s">
        <v>73</v>
      </c>
      <c r="B6" s="57">
        <v>1803</v>
      </c>
    </row>
    <row r="7" spans="1:2" outlineLevel="2">
      <c r="A7" s="57" t="s">
        <v>73</v>
      </c>
      <c r="B7" s="57">
        <v>4117</v>
      </c>
    </row>
    <row r="8" spans="1:2" s="57" customFormat="1" outlineLevel="1">
      <c r="A8" s="4" t="s">
        <v>1645</v>
      </c>
      <c r="B8" s="4">
        <f>SUBTOTAL(9,B4:B7)</f>
        <v>14338</v>
      </c>
    </row>
    <row r="9" spans="1:2" outlineLevel="2">
      <c r="A9" s="57" t="s">
        <v>33</v>
      </c>
      <c r="B9" s="57">
        <v>1576</v>
      </c>
    </row>
    <row r="10" spans="1:2" outlineLevel="2">
      <c r="A10" s="57" t="s">
        <v>33</v>
      </c>
      <c r="B10" s="57">
        <v>2113</v>
      </c>
    </row>
    <row r="11" spans="1:2" outlineLevel="2">
      <c r="A11" s="57" t="s">
        <v>33</v>
      </c>
      <c r="B11" s="57">
        <v>3918</v>
      </c>
    </row>
    <row r="12" spans="1:2" outlineLevel="2">
      <c r="A12" s="57" t="s">
        <v>33</v>
      </c>
      <c r="B12" s="57">
        <v>2647</v>
      </c>
    </row>
    <row r="13" spans="1:2" outlineLevel="2">
      <c r="A13" s="57" t="s">
        <v>33</v>
      </c>
      <c r="B13" s="57">
        <v>2581</v>
      </c>
    </row>
    <row r="14" spans="1:2" outlineLevel="2">
      <c r="A14" s="57" t="s">
        <v>33</v>
      </c>
      <c r="B14" s="57">
        <v>3093</v>
      </c>
    </row>
    <row r="15" spans="1:2" outlineLevel="2">
      <c r="A15" s="57" t="s">
        <v>33</v>
      </c>
      <c r="B15" s="57">
        <v>4381</v>
      </c>
    </row>
    <row r="16" spans="1:2" outlineLevel="2">
      <c r="A16" s="57" t="s">
        <v>33</v>
      </c>
      <c r="B16" s="57">
        <v>2379</v>
      </c>
    </row>
    <row r="17" spans="1:2" s="57" customFormat="1" outlineLevel="1">
      <c r="A17" s="4" t="s">
        <v>1640</v>
      </c>
      <c r="B17" s="4">
        <f>SUBTOTAL(9,B9:B16)</f>
        <v>22688</v>
      </c>
    </row>
    <row r="18" spans="1:2" outlineLevel="2">
      <c r="A18" s="57" t="s">
        <v>257</v>
      </c>
      <c r="B18" s="57">
        <v>4938</v>
      </c>
    </row>
    <row r="19" spans="1:2" s="57" customFormat="1" outlineLevel="1">
      <c r="A19" s="4" t="s">
        <v>1647</v>
      </c>
      <c r="B19" s="4">
        <f>SUBTOTAL(9,B18:B18)</f>
        <v>4938</v>
      </c>
    </row>
    <row r="20" spans="1:2" outlineLevel="2">
      <c r="A20" s="57" t="s">
        <v>255</v>
      </c>
      <c r="B20" s="57">
        <v>3170</v>
      </c>
    </row>
    <row r="21" spans="1:2" s="57" customFormat="1" outlineLevel="1">
      <c r="A21" s="4" t="s">
        <v>1643</v>
      </c>
      <c r="B21" s="4">
        <f>SUBTOTAL(9,B20:B20)</f>
        <v>3170</v>
      </c>
    </row>
    <row r="22" spans="1:2" outlineLevel="2">
      <c r="A22" s="57" t="s">
        <v>260</v>
      </c>
      <c r="B22" s="57">
        <v>3165</v>
      </c>
    </row>
    <row r="23" spans="1:2" outlineLevel="2">
      <c r="A23" s="57" t="s">
        <v>260</v>
      </c>
      <c r="B23" s="57">
        <v>4326</v>
      </c>
    </row>
    <row r="24" spans="1:2" s="57" customFormat="1" outlineLevel="1">
      <c r="A24" s="4" t="s">
        <v>1646</v>
      </c>
      <c r="B24" s="4">
        <f>SUBTOTAL(9,B22:B23)</f>
        <v>7491</v>
      </c>
    </row>
    <row r="25" spans="1:2" outlineLevel="2">
      <c r="A25" s="57" t="s">
        <v>256</v>
      </c>
      <c r="B25" s="57">
        <v>2159</v>
      </c>
    </row>
    <row r="26" spans="1:2" outlineLevel="2">
      <c r="A26" s="57" t="s">
        <v>256</v>
      </c>
      <c r="B26" s="57">
        <v>4350</v>
      </c>
    </row>
    <row r="27" spans="1:2" outlineLevel="2">
      <c r="A27" s="57" t="s">
        <v>256</v>
      </c>
      <c r="B27" s="57">
        <v>3764</v>
      </c>
    </row>
    <row r="28" spans="1:2" outlineLevel="2">
      <c r="A28" s="57" t="s">
        <v>256</v>
      </c>
      <c r="B28" s="57">
        <v>4337</v>
      </c>
    </row>
    <row r="29" spans="1:2" s="57" customFormat="1" outlineLevel="1">
      <c r="A29" s="4" t="s">
        <v>1644</v>
      </c>
      <c r="B29" s="4">
        <f>SUBTOTAL(9,B25:B28)</f>
        <v>14610</v>
      </c>
    </row>
    <row r="30" spans="1:2" outlineLevel="2">
      <c r="A30" s="57" t="s">
        <v>261</v>
      </c>
      <c r="B30" s="57">
        <v>3998</v>
      </c>
    </row>
    <row r="31" spans="1:2" s="57" customFormat="1" outlineLevel="1">
      <c r="A31" s="4" t="s">
        <v>1642</v>
      </c>
      <c r="B31" s="4">
        <f>SUBTOTAL(9,B30:B30)</f>
        <v>3998</v>
      </c>
    </row>
    <row r="32" spans="1:2" outlineLevel="2">
      <c r="A32" s="57" t="s">
        <v>259</v>
      </c>
      <c r="B32" s="57">
        <v>3373</v>
      </c>
    </row>
    <row r="33" spans="1:2" s="57" customFormat="1" outlineLevel="1">
      <c r="A33" s="4" t="s">
        <v>1648</v>
      </c>
      <c r="B33" s="4">
        <f>SUBTOTAL(9,B32:B32)</f>
        <v>3373</v>
      </c>
    </row>
    <row r="34" spans="1:2" s="57" customFormat="1">
      <c r="A34" s="58" t="s">
        <v>269</v>
      </c>
      <c r="B34" s="57">
        <f>SUBTOTAL(9,B2:B32)</f>
        <v>79342</v>
      </c>
    </row>
  </sheetData>
  <sortState xmlns:xlrd2="http://schemas.microsoft.com/office/spreadsheetml/2017/richdata2" ref="A2:B32">
    <sortCondition ref="A2:A32"/>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2C665FF7-22A3-4D31-BF9A-99D117563F30}">
  <ds:schemaRefs/>
</ds:datastoreItem>
</file>

<file path=customXml/itemProps2.xml><?xml version="1.0" encoding="utf-8"?>
<ds:datastoreItem xmlns:ds="http://schemas.openxmlformats.org/officeDocument/2006/customXml" ds:itemID="{23BF4E14-A3E2-43CF-AD97-AACFCF8942A6}">
  <ds:schemaRefs/>
</ds:datastoreItem>
</file>

<file path=customXml/itemProps3.xml><?xml version="1.0" encoding="utf-8"?>
<ds:datastoreItem xmlns:ds="http://schemas.openxmlformats.org/officeDocument/2006/customXml" ds:itemID="{CCAB554D-B00D-4842-B569-684F930ED48E}">
  <ds:schemaRefs/>
</ds:datastoreItem>
</file>

<file path=customXml/itemProps4.xml><?xml version="1.0" encoding="utf-8"?>
<ds:datastoreItem xmlns:ds="http://schemas.openxmlformats.org/officeDocument/2006/customXml" ds:itemID="{2B105676-1E0B-450F-98F9-7804454C4231}">
  <ds:schemaRefs/>
</ds:datastoreItem>
</file>

<file path=customXml/itemProps5.xml><?xml version="1.0" encoding="utf-8"?>
<ds:datastoreItem xmlns:ds="http://schemas.openxmlformats.org/officeDocument/2006/customXml" ds:itemID="{02DBFE79-B83F-4EF4-88EF-14F4E22E4BA6}">
  <ds:schemaRefs/>
</ds:datastoreItem>
</file>

<file path=customXml/itemProps6.xml><?xml version="1.0" encoding="utf-8"?>
<ds:datastoreItem xmlns:ds="http://schemas.openxmlformats.org/officeDocument/2006/customXml" ds:itemID="{99FD9AC8-5902-44E8-B550-F7C7E844B6BD}">
  <ds:schemaRefs/>
</ds:datastoreItem>
</file>

<file path=customXml/itemProps7.xml><?xml version="1.0" encoding="utf-8"?>
<ds:datastoreItem xmlns:ds="http://schemas.openxmlformats.org/officeDocument/2006/customXml" ds:itemID="{E3E2FD9D-CC33-4C06-A452-41F8D64F7C5C}">
  <ds:schemaRefs/>
</ds:datastoreItem>
</file>

<file path=customXml/itemProps8.xml><?xml version="1.0" encoding="utf-8"?>
<ds:datastoreItem xmlns:ds="http://schemas.openxmlformats.org/officeDocument/2006/customXml" ds:itemID="{A8DB3387-54BD-4D35-88AC-14A0F5B309D5}">
  <ds:schemaRefs/>
</ds:datastoreItem>
</file>

<file path=customXml/itemProps9.xml><?xml version="1.0" encoding="utf-8"?>
<ds:datastoreItem xmlns:ds="http://schemas.openxmlformats.org/officeDocument/2006/customXml" ds:itemID="{F27195A9-36AB-4713-8AA8-B365AB5CCEE0}">
  <ds:schemaRefs/>
</ds:datastoreItem>
</file>

<file path=customXml/itemProps10.xml><?xml version="1.0" encoding="utf-8"?>
<ds:datastoreItem xmlns:ds="http://schemas.openxmlformats.org/officeDocument/2006/customXml" ds:itemID="{BF78244D-7D1E-4CB0-8D6D-A3A25102284F}">
  <ds:schemaRefs/>
</ds:datastoreItem>
</file>

<file path=customXml/itemProps11.xml><?xml version="1.0" encoding="utf-8"?>
<ds:datastoreItem xmlns:ds="http://schemas.openxmlformats.org/officeDocument/2006/customXml" ds:itemID="{ABB049E0-BE98-4F2A-9B8E-C95EA1D5377F}">
  <ds:schemaRefs/>
</ds:datastoreItem>
</file>

<file path=customXml/itemProps12.xml><?xml version="1.0" encoding="utf-8"?>
<ds:datastoreItem xmlns:ds="http://schemas.openxmlformats.org/officeDocument/2006/customXml" ds:itemID="{07599261-3B7D-44CF-B15D-350B5C075464}">
  <ds:schemaRefs/>
</ds:datastoreItem>
</file>

<file path=customXml/itemProps13.xml><?xml version="1.0" encoding="utf-8"?>
<ds:datastoreItem xmlns:ds="http://schemas.openxmlformats.org/officeDocument/2006/customXml" ds:itemID="{9EAE1F24-6F02-49F7-8223-68540E84F108}">
  <ds:schemaRefs/>
</ds:datastoreItem>
</file>

<file path=customXml/itemProps14.xml><?xml version="1.0" encoding="utf-8"?>
<ds:datastoreItem xmlns:ds="http://schemas.openxmlformats.org/officeDocument/2006/customXml" ds:itemID="{E20ADC54-48E4-4886-8F15-35C1B11B25C5}">
  <ds:schemaRefs>
    <ds:schemaRef ds:uri="http://schemas.microsoft.com/DataMashup"/>
  </ds:schemaRefs>
</ds:datastoreItem>
</file>

<file path=customXml/itemProps15.xml><?xml version="1.0" encoding="utf-8"?>
<ds:datastoreItem xmlns:ds="http://schemas.openxmlformats.org/officeDocument/2006/customXml" ds:itemID="{AC0D6E60-0659-41F4-A8CD-3DA524A9564E}">
  <ds:schemaRefs/>
</ds:datastoreItem>
</file>

<file path=customXml/itemProps16.xml><?xml version="1.0" encoding="utf-8"?>
<ds:datastoreItem xmlns:ds="http://schemas.openxmlformats.org/officeDocument/2006/customXml" ds:itemID="{B044832C-C210-43BF-BFAB-78ADCAF8F8C8}">
  <ds:schemaRefs/>
</ds:datastoreItem>
</file>

<file path=customXml/itemProps17.xml><?xml version="1.0" encoding="utf-8"?>
<ds:datastoreItem xmlns:ds="http://schemas.openxmlformats.org/officeDocument/2006/customXml" ds:itemID="{BBA32071-235D-44C6-BD8A-8138CDCA8D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Excel invoice</vt:lpstr>
      <vt:lpstr>Excel function and formula</vt:lpstr>
      <vt:lpstr>Ms Excel Functions VLookup, H..</vt:lpstr>
      <vt:lpstr>Ms Excel Logical Functions,IF..</vt:lpstr>
      <vt:lpstr>Financial Functions, FV, PMT, R</vt:lpstr>
      <vt:lpstr>Excel tab option practice</vt:lpstr>
      <vt:lpstr>Pivot Table</vt:lpstr>
      <vt:lpstr>income and expense data</vt:lpstr>
      <vt:lpstr>pivot map chart income and expe</vt:lpstr>
      <vt:lpstr> Income and expense pivot table</vt:lpstr>
      <vt:lpstr>Pivot table 3</vt:lpstr>
      <vt:lpstr>Pivot mapchart course data</vt:lpstr>
      <vt:lpstr> pagelayout &amp; data tab</vt:lpstr>
      <vt:lpstr>Sheet2</vt:lpstr>
      <vt:lpstr>Data</vt:lpstr>
      <vt:lpstr>Sheet14</vt:lpstr>
      <vt:lpstr>upciss std1&amp;2 data pvt table</vt:lpstr>
      <vt:lpstr>upciss std data1</vt:lpstr>
      <vt:lpstr>upciss std data2</vt:lpstr>
      <vt:lpstr>data file 2</vt:lpstr>
      <vt:lpstr>Jan</vt:lpstr>
      <vt:lpstr>Fab</vt:lpstr>
      <vt:lpstr>Mar</vt:lpstr>
      <vt:lpstr>Goalseek</vt:lpstr>
      <vt:lpstr>Data Table</vt:lpstr>
      <vt:lpstr>Sheet13</vt:lpstr>
      <vt:lpstr>forcecast sheet</vt:lpstr>
      <vt:lpstr>subtotal in excel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BulBul Ahmed</dc:creator>
  <cp:lastModifiedBy>BulBul Ahmed</cp:lastModifiedBy>
  <cp:lastPrinted>2025-12-15T06:45:55Z</cp:lastPrinted>
  <dcterms:created xsi:type="dcterms:W3CDTF">2025-11-29T16:56:05Z</dcterms:created>
  <dcterms:modified xsi:type="dcterms:W3CDTF">2025-12-16T18:23:56Z</dcterms:modified>
</cp:coreProperties>
</file>